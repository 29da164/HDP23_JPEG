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29da1\Documents\Masamoto\"/>
    </mc:Choice>
  </mc:AlternateContent>
  <bookViews>
    <workbookView xWindow="0" yWindow="0" windowWidth="15516" windowHeight="9660" activeTab="2"/>
  </bookViews>
  <sheets>
    <sheet name="imageData" sheetId="4" r:id="rId1"/>
    <sheet name="quantumTable" sheetId="5" r:id="rId2"/>
    <sheet name="DCT・IDCT" sheetId="1" r:id="rId3"/>
    <sheet name="サンプル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1" l="1"/>
  <c r="T19" i="1" s="1"/>
  <c r="H9" i="1"/>
  <c r="S19" i="1" s="1"/>
  <c r="I8" i="1"/>
  <c r="T18" i="1" s="1"/>
  <c r="I7" i="1"/>
  <c r="H8" i="1"/>
  <c r="G9" i="1"/>
  <c r="R19" i="1" s="1"/>
  <c r="F9" i="1"/>
  <c r="Q19" i="1" s="1"/>
  <c r="S18" i="1"/>
  <c r="G8" i="1"/>
  <c r="R18" i="1" s="1"/>
  <c r="H7" i="1"/>
  <c r="S17" i="1" s="1"/>
  <c r="I6" i="1"/>
  <c r="T16" i="1" s="1"/>
  <c r="I5" i="1"/>
  <c r="T15" i="1" s="1"/>
  <c r="H6" i="1"/>
  <c r="G7" i="1"/>
  <c r="R17" i="1" s="1"/>
  <c r="F8" i="1"/>
  <c r="Q18" i="1" s="1"/>
  <c r="E9" i="1"/>
  <c r="P19" i="1" s="1"/>
  <c r="D9" i="1"/>
  <c r="O19" i="1" s="1"/>
  <c r="E8" i="1"/>
  <c r="P18" i="1" s="1"/>
  <c r="F7" i="1"/>
  <c r="Q17" i="1" s="1"/>
  <c r="G6" i="1"/>
  <c r="R16" i="1" s="1"/>
  <c r="H5" i="1"/>
  <c r="S15" i="1" s="1"/>
  <c r="I4" i="1"/>
  <c r="T14" i="1" s="1"/>
  <c r="I3" i="1"/>
  <c r="T13" i="1" s="1"/>
  <c r="H4" i="1"/>
  <c r="S14" i="1" s="1"/>
  <c r="G5" i="1"/>
  <c r="R15" i="1" s="1"/>
  <c r="F6" i="1"/>
  <c r="E7" i="1"/>
  <c r="P17" i="1" s="1"/>
  <c r="D8" i="1"/>
  <c r="C9" i="1"/>
  <c r="B9" i="1"/>
  <c r="M19" i="1" s="1"/>
  <c r="C8" i="1"/>
  <c r="D7" i="1"/>
  <c r="E6" i="1"/>
  <c r="P16" i="1" s="1"/>
  <c r="F5" i="1"/>
  <c r="Q15" i="1" s="1"/>
  <c r="G4" i="1"/>
  <c r="R14" i="1" s="1"/>
  <c r="H3" i="1"/>
  <c r="S13" i="1" s="1"/>
  <c r="I2" i="1"/>
  <c r="T12" i="1" s="1"/>
  <c r="H2" i="1"/>
  <c r="S12" i="1" s="1"/>
  <c r="G3" i="1"/>
  <c r="F4" i="1"/>
  <c r="Q14" i="1" s="1"/>
  <c r="E5" i="1"/>
  <c r="P15" i="1" s="1"/>
  <c r="D6" i="1"/>
  <c r="O16" i="1" s="1"/>
  <c r="C7" i="1"/>
  <c r="N17" i="1" s="1"/>
  <c r="B8" i="1"/>
  <c r="B7" i="1"/>
  <c r="C6" i="1"/>
  <c r="N16" i="1" s="1"/>
  <c r="D5" i="1"/>
  <c r="O15" i="1" s="1"/>
  <c r="E4" i="1"/>
  <c r="P14" i="1" s="1"/>
  <c r="F3" i="1"/>
  <c r="Q13" i="1" s="1"/>
  <c r="G2" i="1"/>
  <c r="R12" i="1" s="1"/>
  <c r="F2" i="1"/>
  <c r="Q12" i="1" s="1"/>
  <c r="E3" i="1"/>
  <c r="P13" i="1" s="1"/>
  <c r="D4" i="1"/>
  <c r="O14" i="1" s="1"/>
  <c r="C5" i="1"/>
  <c r="N15" i="1" s="1"/>
  <c r="B6" i="1"/>
  <c r="M16" i="1" s="1"/>
  <c r="B5" i="1"/>
  <c r="M15" i="1" s="1"/>
  <c r="C4" i="1"/>
  <c r="N14" i="1" s="1"/>
  <c r="D3" i="1"/>
  <c r="O13" i="1" s="1"/>
  <c r="E2" i="1"/>
  <c r="P12" i="1" s="1"/>
  <c r="D2" i="1"/>
  <c r="O12" i="1" s="1"/>
  <c r="C3" i="1"/>
  <c r="N13" i="1" s="1"/>
  <c r="B4" i="1"/>
  <c r="M14" i="1" s="1"/>
  <c r="B3" i="1"/>
  <c r="M13" i="1" s="1"/>
  <c r="C2" i="1"/>
  <c r="B2" i="1"/>
  <c r="M12" i="1" s="1"/>
  <c r="N19" i="1"/>
  <c r="O18" i="1"/>
  <c r="N18" i="1"/>
  <c r="M18" i="1"/>
  <c r="T17" i="1"/>
  <c r="O17" i="1"/>
  <c r="M17" i="1"/>
  <c r="S16" i="1"/>
  <c r="Q16" i="1"/>
  <c r="R13" i="1"/>
  <c r="N12" i="1"/>
  <c r="I19" i="1"/>
  <c r="H19" i="1"/>
  <c r="I18" i="1"/>
  <c r="I17" i="1"/>
  <c r="H18" i="1"/>
  <c r="G19" i="1"/>
  <c r="F19" i="1"/>
  <c r="G18" i="1"/>
  <c r="H17" i="1"/>
  <c r="I16" i="1"/>
  <c r="I15" i="1"/>
  <c r="H16" i="1"/>
  <c r="G17" i="1"/>
  <c r="F18" i="1"/>
  <c r="E19" i="1"/>
  <c r="D19" i="1"/>
  <c r="E18" i="1"/>
  <c r="F17" i="1"/>
  <c r="G16" i="1"/>
  <c r="H15" i="1"/>
  <c r="I14" i="1"/>
  <c r="I13" i="1"/>
  <c r="H14" i="1"/>
  <c r="G15" i="1"/>
  <c r="F16" i="1"/>
  <c r="E17" i="1"/>
  <c r="D18" i="1"/>
  <c r="C19" i="1"/>
  <c r="B19" i="1"/>
  <c r="C18" i="1"/>
  <c r="D17" i="1"/>
  <c r="E16" i="1"/>
  <c r="F15" i="1"/>
  <c r="G14" i="1"/>
  <c r="H13" i="1"/>
  <c r="I12" i="1"/>
  <c r="H12" i="1"/>
  <c r="G13" i="1"/>
  <c r="F14" i="1"/>
  <c r="E15" i="1"/>
  <c r="D16" i="1"/>
  <c r="C17" i="1"/>
  <c r="B18" i="1"/>
  <c r="B17" i="1"/>
  <c r="C16" i="1"/>
  <c r="D15" i="1"/>
  <c r="E14" i="1"/>
  <c r="F13" i="1"/>
  <c r="G12" i="1"/>
  <c r="F12" i="1"/>
  <c r="E13" i="1"/>
  <c r="C15" i="1"/>
  <c r="D14" i="1"/>
  <c r="B16" i="1"/>
  <c r="B15" i="1"/>
  <c r="C14" i="1"/>
  <c r="D13" i="1"/>
  <c r="E12" i="1"/>
  <c r="D12" i="1"/>
  <c r="C13" i="1"/>
  <c r="B14" i="1"/>
  <c r="B13" i="1"/>
  <c r="C12" i="1"/>
  <c r="B12" i="1"/>
  <c r="M22" i="1" l="1"/>
</calcChain>
</file>

<file path=xl/sharedStrings.xml><?xml version="1.0" encoding="utf-8"?>
<sst xmlns="http://schemas.openxmlformats.org/spreadsheetml/2006/main" count="23" uniqueCount="23">
  <si>
    <t>圧縮率</t>
  </si>
  <si>
    <t>大きい数字が白，小さい数字が緑で描画される</t>
  </si>
  <si>
    <t>2. [DCT]ボタンを押すと，左下に変換係数が算出される</t>
  </si>
  <si>
    <t>3. K11セルに量子化の大きさを指定する</t>
  </si>
  <si>
    <t>大きい数字は量子化が大きく，誤差も大きい</t>
  </si>
  <si>
    <t>4. [IDCT]ボタンを押下すると，右上にJPEG図形が表示される</t>
  </si>
  <si>
    <t>1. 左上の8ｘ8マトリクスに好きな図形 (原画像) を描画する</t>
  </si>
  <si>
    <t>圧縮率50%程度であれば人間の目で見て原画像とJPEG画像の差は小さい</t>
  </si>
  <si>
    <t>使い方　2023-08-25 Fukuda</t>
  </si>
  <si>
    <t>サンプルシートからCopy-and-Pasteしても良い</t>
  </si>
  <si>
    <t>M22セルに大まかな圧縮率が表示される</t>
  </si>
  <si>
    <t>JPEG画像</t>
  </si>
  <si>
    <t>量子化後変換係数</t>
  </si>
  <si>
    <t>量子化テーブル</t>
  </si>
  <si>
    <t>イメージ</t>
  </si>
  <si>
    <t xml:space="preserve">03 02 02 02 02 02 03 02 </t>
  </si>
  <si>
    <t xml:space="preserve">02 02 03 03 03 03 04 06 </t>
  </si>
  <si>
    <t xml:space="preserve">04 04 04 04 04 08 06 06 </t>
  </si>
  <si>
    <t xml:space="preserve">05 06 09 08 10 10 09 08 </t>
  </si>
  <si>
    <t xml:space="preserve">09 09 10 12 15 12 10 11 </t>
  </si>
  <si>
    <t xml:space="preserve">14 11 09 09 13 17 13 14 </t>
  </si>
  <si>
    <t xml:space="preserve">15 16 16 17 16 10 12 18 </t>
  </si>
  <si>
    <t xml:space="preserve">19 18 16 19 15 16 16 16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</si>
</sst>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000"/>
  </numFmts>
  <fonts count="8">
    <font>
      <sz val="11"/>
      <color theme="1"/>
      <name val="Calibri"/>
      <family val="2"/>
      <charset val="128"/>
      <scheme val="minor"/>
    </font>
    <font>
      <sz val="24"/>
      <color theme="1"/>
      <name val="EPSON 太丸ゴシック体Ｂ"/>
      <family val="3"/>
      <charset val="128"/>
    </font>
    <font>
      <sz val="11"/>
      <color theme="1"/>
      <name val="EPSON 太丸ゴシック体Ｂ"/>
      <family val="3"/>
      <charset val="128"/>
    </font>
    <font>
      <sz val="26"/>
      <color theme="1"/>
      <name val="EPSON 太丸ゴシック体Ｂ"/>
      <family val="3"/>
      <charset val="128"/>
    </font>
    <font>
      <sz val="22"/>
      <color theme="1"/>
      <name val="EPSON 太丸ゴシック体Ｂ"/>
      <family val="3"/>
      <charset val="128"/>
    </font>
    <font>
      <b/>
      <sz val="24"/>
      <color theme="1"/>
      <name val="EPSON 太丸ゴシック体Ｂ"/>
      <family val="3"/>
      <charset val="128"/>
    </font>
    <font>
      <sz val="14"/>
      <color theme="1"/>
      <name val="EPSON 太丸ゴシック体Ｂ"/>
      <family val="3"/>
      <charset val="128"/>
    </font>
    <font>
      <b/>
      <sz val="24"/>
      <color rgb="FF000000"/>
      <name val="EPSON 太丸ゴシック体Ｂ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1" fontId="2" fillId="0" borderId="1" xfId="0" applyNumberFormat="1" applyFont="1" applyBorder="1"/>
    <xf numFmtId="1" fontId="2" fillId="0" borderId="2" xfId="0" applyNumberFormat="1" applyFont="1" applyBorder="1"/>
    <xf numFmtId="1" fontId="2" fillId="0" borderId="3" xfId="0" applyNumberFormat="1" applyFont="1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1" fontId="2" fillId="0" borderId="4" xfId="0" applyNumberFormat="1" applyFont="1" applyBorder="1"/>
    <xf numFmtId="1" fontId="2" fillId="0" borderId="0" xfId="0" applyNumberFormat="1" applyFont="1" applyBorder="1"/>
    <xf numFmtId="1" fontId="2" fillId="0" borderId="5" xfId="0" applyNumberFormat="1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1" fontId="2" fillId="0" borderId="6" xfId="0" applyNumberFormat="1" applyFont="1" applyBorder="1"/>
    <xf numFmtId="1" fontId="2" fillId="0" borderId="7" xfId="0" applyNumberFormat="1" applyFont="1" applyBorder="1"/>
    <xf numFmtId="1" fontId="2" fillId="0" borderId="8" xfId="0" applyNumberFormat="1" applyFont="1" applyBorder="1"/>
    <xf numFmtId="0" fontId="3" fillId="2" borderId="0" xfId="0" applyFont="1" applyFill="1"/>
    <xf numFmtId="165" fontId="2" fillId="0" borderId="0" xfId="0" applyNumberFormat="1" applyFont="1"/>
    <xf numFmtId="164" fontId="2" fillId="0" borderId="0" xfId="0" applyNumberFormat="1" applyFont="1" applyBorder="1"/>
    <xf numFmtId="0" fontId="6" fillId="3" borderId="0" xfId="0" applyFont="1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left"/>
    </xf>
    <xf numFmtId="0" fontId="1" fillId="0" borderId="7" xfId="0" applyFont="1" applyBorder="1" applyAlignment="1">
      <alignment horizontal="center"/>
    </xf>
    <xf numFmtId="9" fontId="4" fillId="2" borderId="9" xfId="0" applyNumberFormat="1" applyFont="1" applyFill="1" applyBorder="1" applyAlignment="1">
      <alignment horizontal="center"/>
    </xf>
    <xf numFmtId="9" fontId="4" fillId="2" borderId="10" xfId="0" applyNumberFormat="1" applyFont="1" applyFill="1" applyBorder="1" applyAlignment="1">
      <alignment horizontal="center"/>
    </xf>
    <xf numFmtId="9" fontId="4" fillId="2" borderId="11" xfId="0" applyNumberFormat="1" applyFont="1" applyFill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144780</xdr:colOff>
          <xdr:row>3</xdr:row>
          <xdr:rowOff>22860</xdr:rowOff>
        </xdr:from>
        <xdr:to>
          <xdr:col>11</xdr:col>
          <xdr:colOff>289560</xdr:colOff>
          <xdr:row>6</xdr:row>
          <xdr:rowOff>388620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EPSON 太丸ゴシック体Ｂ"/>
                  <a:ea typeface="EPSON 太丸ゴシック体Ｂ"/>
                </a:rPr>
                <a:t>離散</a:t>
              </a:r>
            </a:p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EPSON 太丸ゴシック体Ｂ"/>
                  <a:ea typeface="EPSON 太丸ゴシック体Ｂ"/>
                </a:rPr>
                <a:t>コサイン</a:t>
              </a:r>
            </a:p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EPSON 太丸ゴシック体Ｂ"/>
                  <a:ea typeface="EPSON 太丸ゴシック体Ｂ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160020</xdr:colOff>
          <xdr:row>12</xdr:row>
          <xdr:rowOff>350520</xdr:rowOff>
        </xdr:from>
        <xdr:to>
          <xdr:col>11</xdr:col>
          <xdr:colOff>312420</xdr:colOff>
          <xdr:row>16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EPSON 太丸ゴシック体Ｂ"/>
                  <a:ea typeface="EPSON 太丸ゴシック体Ｂ"/>
                </a:rPr>
                <a:t>逆離散</a:t>
              </a:r>
            </a:p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EPSON 太丸ゴシック体Ｂ"/>
                  <a:ea typeface="EPSON 太丸ゴシック体Ｂ"/>
                </a:rPr>
                <a:t>コサイン</a:t>
              </a:r>
            </a:p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EPSON 太丸ゴシック体Ｂ"/>
                  <a:ea typeface="EPSON 太丸ゴシック体Ｂ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61"/>
  <sheetViews>
    <sheetView workbookViewId="0">
      <selection sqref="A1:A61"/>
    </sheetView>
  </sheetViews>
  <sheetFormatPr defaultRowHeight="14.4"/>
  <sheetData>
    <row r="1" spans="1:1">
      <c r="A1">
        <v>10</v>
      </c>
    </row>
    <row r="2" spans="1:1">
      <c r="A2">
        <v>-11</v>
      </c>
    </row>
    <row r="3" spans="1:1">
      <c r="A3">
        <v>42</v>
      </c>
    </row>
    <row r="4" spans="1:1">
      <c r="A4">
        <v>16</v>
      </c>
    </row>
    <row r="5" spans="1:1">
      <c r="A5">
        <v>45</v>
      </c>
    </row>
    <row r="6" spans="1:1">
      <c r="A6">
        <v>0</v>
      </c>
    </row>
    <row r="7" spans="1:1">
      <c r="A7">
        <v>0</v>
      </c>
    </row>
    <row r="8" spans="1:1">
      <c r="A8">
        <v>-1</v>
      </c>
    </row>
    <row r="9" spans="1:1">
      <c r="A9">
        <v>-10</v>
      </c>
    </row>
    <row r="10" spans="1:1">
      <c r="A10">
        <v>-3</v>
      </c>
    </row>
    <row r="11" spans="1:1">
      <c r="A11">
        <v>-9</v>
      </c>
    </row>
    <row r="12" spans="1:1">
      <c r="A12">
        <v>47</v>
      </c>
    </row>
    <row r="13" spans="1:1">
      <c r="A13">
        <v>-53</v>
      </c>
    </row>
    <row r="14" spans="1:1">
      <c r="A14">
        <v>-34</v>
      </c>
    </row>
    <row r="15" spans="1:1">
      <c r="A15">
        <v>-18</v>
      </c>
    </row>
    <row r="16" spans="1:1">
      <c r="A16">
        <v>9</v>
      </c>
    </row>
    <row r="17" spans="1:1">
      <c r="A17">
        <v>14</v>
      </c>
    </row>
    <row r="18" spans="1:1">
      <c r="A18">
        <v>-60</v>
      </c>
    </row>
    <row r="19" spans="1:1">
      <c r="A19">
        <v>14</v>
      </c>
    </row>
    <row r="20" spans="1:1">
      <c r="A20">
        <v>-2</v>
      </c>
    </row>
    <row r="21" spans="1:1">
      <c r="A21">
        <v>8</v>
      </c>
    </row>
    <row r="22" spans="1:1">
      <c r="A22">
        <v>42</v>
      </c>
    </row>
    <row r="23" spans="1:1">
      <c r="A23">
        <v>-22</v>
      </c>
    </row>
    <row r="24" spans="1:1">
      <c r="A24">
        <v>61</v>
      </c>
    </row>
    <row r="25" spans="1:1">
      <c r="A25">
        <v>15</v>
      </c>
    </row>
    <row r="26" spans="1:1">
      <c r="A26">
        <v>23</v>
      </c>
    </row>
    <row r="27" spans="1:1">
      <c r="A27">
        <v>-21</v>
      </c>
    </row>
    <row r="28" spans="1:1">
      <c r="A28">
        <v>-10</v>
      </c>
    </row>
    <row r="29" spans="1:1">
      <c r="A29">
        <v>-2</v>
      </c>
    </row>
    <row r="30" spans="1:1">
      <c r="A30">
        <v>9</v>
      </c>
    </row>
    <row r="31" spans="1:1">
      <c r="A31">
        <v>3</v>
      </c>
    </row>
    <row r="32" spans="1:1">
      <c r="A32">
        <v>-12</v>
      </c>
    </row>
    <row r="33" spans="1:1">
      <c r="A33">
        <v>-12</v>
      </c>
    </row>
    <row r="34" spans="1:1">
      <c r="A34">
        <v>-8</v>
      </c>
    </row>
    <row r="35" spans="1:1">
      <c r="A35">
        <v>9</v>
      </c>
    </row>
    <row r="36" spans="1:1">
      <c r="A36">
        <v>-13</v>
      </c>
    </row>
    <row r="37" spans="1:1">
      <c r="A37">
        <v>-9</v>
      </c>
    </row>
    <row r="38" spans="1:1">
      <c r="A38">
        <v>-61</v>
      </c>
    </row>
    <row r="39" spans="1:1">
      <c r="A39">
        <v>17</v>
      </c>
    </row>
    <row r="40" spans="1:1">
      <c r="A40">
        <v>2</v>
      </c>
    </row>
    <row r="41" spans="1:1">
      <c r="A41">
        <v>2</v>
      </c>
    </row>
    <row r="42" spans="1:1">
      <c r="A42">
        <v>10</v>
      </c>
    </row>
    <row r="43" spans="1:1">
      <c r="A43">
        <v>17</v>
      </c>
    </row>
    <row r="44" spans="1:1">
      <c r="A44">
        <v>76</v>
      </c>
    </row>
    <row r="45" spans="1:1">
      <c r="A45">
        <v>-2</v>
      </c>
    </row>
    <row r="46" spans="1:1">
      <c r="A46">
        <v>-1</v>
      </c>
    </row>
    <row r="47" spans="1:1">
      <c r="A47">
        <v>-14</v>
      </c>
    </row>
    <row r="48" spans="1:1">
      <c r="A48">
        <v>10</v>
      </c>
    </row>
    <row r="49" spans="1:1">
      <c r="A49">
        <v>-13</v>
      </c>
    </row>
    <row r="50" spans="1:1">
      <c r="A50">
        <v>3</v>
      </c>
    </row>
    <row r="51" spans="1:1">
      <c r="A51">
        <v>3</v>
      </c>
    </row>
    <row r="52" spans="1:1">
      <c r="A52">
        <v>1</v>
      </c>
    </row>
    <row r="53" spans="1:1">
      <c r="A53">
        <v>-13</v>
      </c>
    </row>
    <row r="54" spans="1:1">
      <c r="A54">
        <v>15</v>
      </c>
    </row>
    <row r="55" spans="1:1">
      <c r="A55">
        <v>-8</v>
      </c>
    </row>
    <row r="56" spans="1:1">
      <c r="A56">
        <v>-12</v>
      </c>
    </row>
    <row r="57" spans="1:1">
      <c r="A57">
        <v>-3</v>
      </c>
    </row>
    <row r="58" spans="1:1">
      <c r="A58">
        <v>0</v>
      </c>
    </row>
    <row r="59" spans="1:1">
      <c r="A59">
        <v>0</v>
      </c>
    </row>
    <row r="60" spans="1:1">
      <c r="A60">
        <v>1</v>
      </c>
    </row>
    <row r="61" spans="1:1">
      <c r="A61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4"/>
  <sheetViews>
    <sheetView topLeftCell="A35" workbookViewId="0">
      <selection activeCell="A65" sqref="A65"/>
    </sheetView>
  </sheetViews>
  <sheetFormatPr defaultRowHeight="14.4"/>
  <cols>
    <col min="3" max="3" width="20.77734375" bestFit="1" customWidth="1"/>
  </cols>
  <sheetData>
    <row r="1" spans="1:1">
      <c r="A1">
        <v>3</v>
      </c>
    </row>
    <row r="2" spans="1:1">
      <c r="A2">
        <v>2</v>
      </c>
    </row>
    <row r="3" spans="1:1">
      <c r="A3">
        <v>2</v>
      </c>
    </row>
    <row r="4" spans="1:1">
      <c r="A4">
        <v>2</v>
      </c>
    </row>
    <row r="5" spans="1:1">
      <c r="A5">
        <v>2</v>
      </c>
    </row>
    <row r="6" spans="1:1">
      <c r="A6">
        <v>2</v>
      </c>
    </row>
    <row r="7" spans="1:1">
      <c r="A7">
        <v>3</v>
      </c>
    </row>
    <row r="8" spans="1:1">
      <c r="A8">
        <v>2</v>
      </c>
    </row>
    <row r="9" spans="1:1">
      <c r="A9">
        <v>2</v>
      </c>
    </row>
    <row r="10" spans="1:1">
      <c r="A10">
        <v>2</v>
      </c>
    </row>
    <row r="11" spans="1:1">
      <c r="A11">
        <v>3</v>
      </c>
    </row>
    <row r="12" spans="1:1">
      <c r="A12">
        <v>3</v>
      </c>
    </row>
    <row r="13" spans="1:1">
      <c r="A13">
        <v>3</v>
      </c>
    </row>
    <row r="14" spans="1:1">
      <c r="A14">
        <v>3</v>
      </c>
    </row>
    <row r="15" spans="1:1">
      <c r="A15">
        <v>4</v>
      </c>
    </row>
    <row r="16" spans="1:1">
      <c r="A16">
        <v>6</v>
      </c>
    </row>
    <row r="17" spans="1:1">
      <c r="A17">
        <v>4</v>
      </c>
    </row>
    <row r="18" spans="1:1">
      <c r="A18">
        <v>4</v>
      </c>
    </row>
    <row r="19" spans="1:1">
      <c r="A19">
        <v>4</v>
      </c>
    </row>
    <row r="20" spans="1:1">
      <c r="A20">
        <v>4</v>
      </c>
    </row>
    <row r="21" spans="1:1">
      <c r="A21">
        <v>4</v>
      </c>
    </row>
    <row r="22" spans="1:1">
      <c r="A22">
        <v>8</v>
      </c>
    </row>
    <row r="23" spans="1:1">
      <c r="A23">
        <v>6</v>
      </c>
    </row>
    <row r="24" spans="1:1">
      <c r="A24">
        <v>6</v>
      </c>
    </row>
    <row r="25" spans="1:1">
      <c r="A25">
        <v>5</v>
      </c>
    </row>
    <row r="26" spans="1:1">
      <c r="A26">
        <v>6</v>
      </c>
    </row>
    <row r="27" spans="1:1">
      <c r="A27">
        <v>9</v>
      </c>
    </row>
    <row r="28" spans="1:1">
      <c r="A28">
        <v>8</v>
      </c>
    </row>
    <row r="29" spans="1:1">
      <c r="A29">
        <v>10</v>
      </c>
    </row>
    <row r="30" spans="1:1">
      <c r="A30">
        <v>10</v>
      </c>
    </row>
    <row r="31" spans="1:1">
      <c r="A31">
        <v>9</v>
      </c>
    </row>
    <row r="32" spans="1:1">
      <c r="A32">
        <v>8</v>
      </c>
    </row>
    <row r="33" spans="1:1">
      <c r="A33">
        <v>9</v>
      </c>
    </row>
    <row r="34" spans="1:1">
      <c r="A34">
        <v>9</v>
      </c>
    </row>
    <row r="35" spans="1:1">
      <c r="A35">
        <v>10</v>
      </c>
    </row>
    <row r="36" spans="1:1">
      <c r="A36">
        <v>12</v>
      </c>
    </row>
    <row r="37" spans="1:1">
      <c r="A37">
        <v>15</v>
      </c>
    </row>
    <row r="38" spans="1:1">
      <c r="A38">
        <v>12</v>
      </c>
    </row>
    <row r="39" spans="1:1">
      <c r="A39">
        <v>10</v>
      </c>
    </row>
    <row r="40" spans="1:1">
      <c r="A40">
        <v>11</v>
      </c>
    </row>
    <row r="41" spans="1:1">
      <c r="A41">
        <v>14</v>
      </c>
    </row>
    <row r="42" spans="1:1">
      <c r="A42">
        <v>11</v>
      </c>
    </row>
    <row r="43" spans="1:1">
      <c r="A43">
        <v>9</v>
      </c>
    </row>
    <row r="44" spans="1:1">
      <c r="A44">
        <v>9</v>
      </c>
    </row>
    <row r="45" spans="1:1">
      <c r="A45">
        <v>13</v>
      </c>
    </row>
    <row r="46" spans="1:1">
      <c r="A46">
        <v>17</v>
      </c>
    </row>
    <row r="47" spans="1:1">
      <c r="A47">
        <v>13</v>
      </c>
    </row>
    <row r="48" spans="1:1">
      <c r="A48">
        <v>14</v>
      </c>
    </row>
    <row r="49" spans="1:3">
      <c r="A49">
        <v>15</v>
      </c>
    </row>
    <row r="50" spans="1:3">
      <c r="A50">
        <v>16</v>
      </c>
    </row>
    <row r="51" spans="1:3">
      <c r="A51">
        <v>16</v>
      </c>
      <c r="C51" t="s">
        <v>15</v>
      </c>
    </row>
    <row r="52" spans="1:3">
      <c r="A52">
        <v>17</v>
      </c>
      <c r="C52" t="s">
        <v>16</v>
      </c>
    </row>
    <row r="53" spans="1:3">
      <c r="A53">
        <v>16</v>
      </c>
      <c r="C53" t="s">
        <v>17</v>
      </c>
    </row>
    <row r="54" spans="1:3">
      <c r="A54">
        <v>10</v>
      </c>
      <c r="C54" t="s">
        <v>18</v>
      </c>
    </row>
    <row r="55" spans="1:3">
      <c r="A55">
        <v>12</v>
      </c>
      <c r="C55" t="s">
        <v>19</v>
      </c>
    </row>
    <row r="56" spans="1:3">
      <c r="A56">
        <v>18</v>
      </c>
      <c r="C56" t="s">
        <v>20</v>
      </c>
    </row>
    <row r="57" spans="1:3">
      <c r="A57">
        <v>19</v>
      </c>
      <c r="C57" t="s">
        <v>21</v>
      </c>
    </row>
    <row r="58" spans="1:3">
      <c r="A58">
        <v>18</v>
      </c>
      <c r="C58" t="s">
        <v>22</v>
      </c>
    </row>
    <row r="59" spans="1:3">
      <c r="A59">
        <v>16</v>
      </c>
    </row>
    <row r="60" spans="1:3">
      <c r="A60">
        <v>19</v>
      </c>
    </row>
    <row r="61" spans="1:3">
      <c r="A61">
        <v>15</v>
      </c>
    </row>
    <row r="62" spans="1:3">
      <c r="A62">
        <v>16</v>
      </c>
    </row>
    <row r="63" spans="1:3">
      <c r="A63">
        <v>16</v>
      </c>
    </row>
    <row r="64" spans="1:3">
      <c r="A64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M22"/>
  <sheetViews>
    <sheetView tabSelected="1" zoomScale="55" zoomScaleNormal="55" workbookViewId="0">
      <selection activeCell="I9" sqref="I9"/>
    </sheetView>
  </sheetViews>
  <sheetFormatPr defaultColWidth="7.44140625" defaultRowHeight="37.5" customHeight="1"/>
  <cols>
    <col min="1" max="1" width="7.44140625" style="1"/>
    <col min="2" max="2" width="8.6640625" style="1" bestFit="1" customWidth="1"/>
    <col min="3" max="9" width="7.5546875" style="1" bestFit="1" customWidth="1"/>
    <col min="10" max="10" width="7.44140625" style="1"/>
    <col min="11" max="11" width="17.33203125" style="1" customWidth="1"/>
    <col min="12" max="12" width="7.44140625" style="1"/>
    <col min="13" max="20" width="7.5546875" style="1" bestFit="1" customWidth="1"/>
    <col min="21" max="16384" width="7.44140625" style="1"/>
  </cols>
  <sheetData>
    <row r="1" spans="2:39" ht="37.5" customHeight="1" thickBot="1">
      <c r="B1" s="26" t="s">
        <v>13</v>
      </c>
      <c r="C1" s="26"/>
      <c r="D1" s="26"/>
      <c r="E1" s="26"/>
      <c r="F1" s="26"/>
      <c r="G1" s="26"/>
      <c r="H1" s="26"/>
      <c r="I1" s="26"/>
      <c r="M1" s="26" t="s">
        <v>11</v>
      </c>
      <c r="N1" s="26"/>
      <c r="O1" s="26"/>
      <c r="P1" s="26"/>
      <c r="Q1" s="26"/>
      <c r="R1" s="26"/>
      <c r="S1" s="26"/>
      <c r="T1" s="26"/>
      <c r="W1" s="33" t="s">
        <v>8</v>
      </c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</row>
    <row r="2" spans="2:39" ht="37.5" customHeight="1">
      <c r="B2" s="2">
        <f>quantumTable!A1</f>
        <v>3</v>
      </c>
      <c r="C2" s="3">
        <f>quantumTable!A2</f>
        <v>2</v>
      </c>
      <c r="D2" s="3">
        <f>quantumTable!A6</f>
        <v>2</v>
      </c>
      <c r="E2" s="3">
        <f>quantumTable!A7</f>
        <v>3</v>
      </c>
      <c r="F2" s="3">
        <f>quantumTable!A15</f>
        <v>4</v>
      </c>
      <c r="G2" s="3">
        <f>quantumTable!A16</f>
        <v>6</v>
      </c>
      <c r="H2" s="3">
        <f>quantumTable!A28</f>
        <v>8</v>
      </c>
      <c r="I2" s="4">
        <f>quantumTable!A29</f>
        <v>10</v>
      </c>
      <c r="M2" s="5">
        <v>84.027043080989174</v>
      </c>
      <c r="N2" s="6">
        <v>142.1072552816492</v>
      </c>
      <c r="O2" s="6">
        <v>265.66743397981782</v>
      </c>
      <c r="P2" s="6">
        <v>145.29803789634562</v>
      </c>
      <c r="Q2" s="6">
        <v>92.062510788850005</v>
      </c>
      <c r="R2" s="6">
        <v>-86.222236281833915</v>
      </c>
      <c r="S2" s="6">
        <v>-12.807691166902368</v>
      </c>
      <c r="T2" s="7">
        <v>29.548611287638558</v>
      </c>
      <c r="W2" s="25" t="s">
        <v>6</v>
      </c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</row>
    <row r="3" spans="2:39" ht="37.5" customHeight="1">
      <c r="B3" s="8">
        <f>quantumTable!A3</f>
        <v>2</v>
      </c>
      <c r="C3" s="9">
        <f>quantumTable!A5</f>
        <v>2</v>
      </c>
      <c r="D3" s="9">
        <f>quantumTable!A8</f>
        <v>2</v>
      </c>
      <c r="E3" s="9">
        <f>quantumTable!A14</f>
        <v>3</v>
      </c>
      <c r="F3" s="9">
        <f>quantumTable!A17</f>
        <v>4</v>
      </c>
      <c r="G3" s="9">
        <f>quantumTable!A27</f>
        <v>9</v>
      </c>
      <c r="H3" s="9">
        <f>quantumTable!A30</f>
        <v>10</v>
      </c>
      <c r="I3" s="10">
        <f>quantumTable!A43</f>
        <v>9</v>
      </c>
      <c r="M3" s="11">
        <v>23.181429779754509</v>
      </c>
      <c r="N3" s="12">
        <v>67.24950507301989</v>
      </c>
      <c r="O3" s="12">
        <v>184.14696780980006</v>
      </c>
      <c r="P3" s="12">
        <v>132.08190445864386</v>
      </c>
      <c r="Q3" s="12">
        <v>81.54470859441588</v>
      </c>
      <c r="R3" s="12">
        <v>-34.7995840247793</v>
      </c>
      <c r="S3" s="12">
        <v>-30.625446940019359</v>
      </c>
      <c r="T3" s="13">
        <v>10.077405711611199</v>
      </c>
      <c r="W3" s="23"/>
      <c r="X3" s="25" t="s">
        <v>1</v>
      </c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</row>
    <row r="4" spans="2:39" ht="37.5" customHeight="1">
      <c r="B4" s="8">
        <f>quantumTable!A4</f>
        <v>2</v>
      </c>
      <c r="C4" s="9">
        <f>quantumTable!A9</f>
        <v>2</v>
      </c>
      <c r="D4" s="9">
        <f>quantumTable!A13</f>
        <v>3</v>
      </c>
      <c r="E4" s="9">
        <f>quantumTable!A18</f>
        <v>4</v>
      </c>
      <c r="F4" s="9">
        <f>quantumTable!A26</f>
        <v>6</v>
      </c>
      <c r="G4" s="9">
        <f>quantumTable!A31</f>
        <v>9</v>
      </c>
      <c r="H4" s="9">
        <f>quantumTable!A42</f>
        <v>11</v>
      </c>
      <c r="I4" s="10">
        <f>quantumTable!A44</f>
        <v>9</v>
      </c>
      <c r="M4" s="11">
        <v>-1.7297349645786073</v>
      </c>
      <c r="N4" s="12">
        <v>36.584013984610259</v>
      </c>
      <c r="O4" s="12">
        <v>51.360037801666245</v>
      </c>
      <c r="P4" s="12">
        <v>88.36904806193921</v>
      </c>
      <c r="Q4" s="12">
        <v>61.883919450653984</v>
      </c>
      <c r="R4" s="12">
        <v>82.224692453757697</v>
      </c>
      <c r="S4" s="12">
        <v>56.844593774424197</v>
      </c>
      <c r="T4" s="13">
        <v>54.108917375643394</v>
      </c>
      <c r="W4" s="24"/>
      <c r="X4" s="25" t="s">
        <v>9</v>
      </c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</row>
    <row r="5" spans="2:39" ht="37.5" customHeight="1">
      <c r="B5" s="8">
        <f>quantumTable!A10</f>
        <v>2</v>
      </c>
      <c r="C5" s="9">
        <f>quantumTable!A12</f>
        <v>3</v>
      </c>
      <c r="D5" s="9">
        <f>quantumTable!A19</f>
        <v>4</v>
      </c>
      <c r="E5" s="9">
        <f>quantumTable!A25</f>
        <v>5</v>
      </c>
      <c r="F5" s="9">
        <f>quantumTable!A32</f>
        <v>8</v>
      </c>
      <c r="G5" s="9">
        <f>quantumTable!A41</f>
        <v>14</v>
      </c>
      <c r="H5" s="9">
        <f>quantumTable!A45</f>
        <v>13</v>
      </c>
      <c r="I5" s="10">
        <f>quantumTable!A54</f>
        <v>10</v>
      </c>
      <c r="M5" s="11">
        <v>50.415295305003909</v>
      </c>
      <c r="N5" s="12">
        <v>41.512217814853543</v>
      </c>
      <c r="O5" s="12">
        <v>-111.28574982357281</v>
      </c>
      <c r="P5" s="12">
        <v>-85.348977838935184</v>
      </c>
      <c r="Q5" s="12">
        <v>-109.9103498991939</v>
      </c>
      <c r="R5" s="12">
        <v>49.204684775763553</v>
      </c>
      <c r="S5" s="12">
        <v>73.950637154185827</v>
      </c>
      <c r="T5" s="13">
        <v>58.591581906053129</v>
      </c>
      <c r="W5" s="25" t="s">
        <v>2</v>
      </c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</row>
    <row r="6" spans="2:39" ht="37.5" customHeight="1">
      <c r="B6" s="8">
        <f>quantumTable!A11</f>
        <v>3</v>
      </c>
      <c r="C6" s="9">
        <f>quantumTable!A20</f>
        <v>4</v>
      </c>
      <c r="D6" s="9">
        <f>quantumTable!A24</f>
        <v>6</v>
      </c>
      <c r="E6" s="9">
        <f>quantumTable!A33</f>
        <v>9</v>
      </c>
      <c r="F6" s="9">
        <f>quantumTable!A40</f>
        <v>11</v>
      </c>
      <c r="G6" s="9">
        <f>quantumTable!A46</f>
        <v>17</v>
      </c>
      <c r="H6" s="9">
        <f>quantumTable!A53</f>
        <v>16</v>
      </c>
      <c r="I6" s="10">
        <f>quantumTable!A55</f>
        <v>12</v>
      </c>
      <c r="M6" s="11">
        <v>99.874654614676217</v>
      </c>
      <c r="N6" s="12">
        <v>37.996409452554602</v>
      </c>
      <c r="O6" s="12">
        <v>-146.46851169152288</v>
      </c>
      <c r="P6" s="12">
        <v>-163.95008685843652</v>
      </c>
      <c r="Q6" s="12">
        <v>-169.55775011604825</v>
      </c>
      <c r="R6" s="12">
        <v>3.0676459168594441</v>
      </c>
      <c r="S6" s="12">
        <v>5.1069486370948951</v>
      </c>
      <c r="T6" s="13">
        <v>-54.270144381079362</v>
      </c>
      <c r="W6" s="25" t="s">
        <v>3</v>
      </c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</row>
    <row r="7" spans="2:39" ht="37.5" customHeight="1">
      <c r="B7" s="8">
        <f>quantumTable!A21</f>
        <v>4</v>
      </c>
      <c r="C7" s="9">
        <f>quantumTable!A23</f>
        <v>6</v>
      </c>
      <c r="D7" s="9">
        <f>quantumTable!A34</f>
        <v>9</v>
      </c>
      <c r="E7" s="9">
        <f>quantumTable!A39</f>
        <v>10</v>
      </c>
      <c r="F7" s="9">
        <f>quantumTable!A47</f>
        <v>13</v>
      </c>
      <c r="G7" s="9">
        <f>quantumTable!A52</f>
        <v>17</v>
      </c>
      <c r="H7" s="9">
        <f>quantumTable!A56</f>
        <v>18</v>
      </c>
      <c r="I7" s="10">
        <f>quantumTable!A61</f>
        <v>15</v>
      </c>
      <c r="M7" s="11">
        <v>42.696922556120327</v>
      </c>
      <c r="N7" s="12">
        <v>7.5473969432951096</v>
      </c>
      <c r="O7" s="12">
        <v>-63.721994437473192</v>
      </c>
      <c r="P7" s="12">
        <v>-80.83606501606792</v>
      </c>
      <c r="Q7" s="12">
        <v>-42.407548816257965</v>
      </c>
      <c r="R7" s="12">
        <v>54.200572074984599</v>
      </c>
      <c r="S7" s="12">
        <v>20.84917418548865</v>
      </c>
      <c r="T7" s="13">
        <v>-105.47007268541212</v>
      </c>
      <c r="W7" s="23"/>
      <c r="X7" s="25" t="s">
        <v>4</v>
      </c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</row>
    <row r="8" spans="2:39" ht="37.5" customHeight="1">
      <c r="B8" s="8">
        <f>quantumTable!A22</f>
        <v>8</v>
      </c>
      <c r="C8" s="9">
        <f>quantumTable!A35</f>
        <v>10</v>
      </c>
      <c r="D8" s="9">
        <f>quantumTable!A38</f>
        <v>12</v>
      </c>
      <c r="E8" s="9">
        <f>quantumTable!A48</f>
        <v>14</v>
      </c>
      <c r="F8" s="9">
        <f>quantumTable!A51</f>
        <v>16</v>
      </c>
      <c r="G8" s="9">
        <f>quantumTable!A57</f>
        <v>19</v>
      </c>
      <c r="H8" s="9">
        <f>quantumTable!A60</f>
        <v>19</v>
      </c>
      <c r="I8" s="10">
        <f>quantumTable!A62</f>
        <v>16</v>
      </c>
      <c r="M8" s="11">
        <v>-191.96992918648013</v>
      </c>
      <c r="N8" s="12">
        <v>-144.39702033590996</v>
      </c>
      <c r="O8" s="12">
        <v>-69.192045372476642</v>
      </c>
      <c r="P8" s="12">
        <v>-36.693694276687076</v>
      </c>
      <c r="Q8" s="12">
        <v>21.107801923580162</v>
      </c>
      <c r="R8" s="12">
        <v>58.372729717912051</v>
      </c>
      <c r="S8" s="12">
        <v>75.356407291699767</v>
      </c>
      <c r="T8" s="13">
        <v>-23.945012966878664</v>
      </c>
      <c r="W8" s="24"/>
      <c r="X8" s="25" t="s">
        <v>10</v>
      </c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</row>
    <row r="9" spans="2:39" ht="37.5" customHeight="1" thickBot="1">
      <c r="B9" s="14">
        <f>quantumTable!A36</f>
        <v>12</v>
      </c>
      <c r="C9" s="15">
        <f>quantumTable!A37</f>
        <v>15</v>
      </c>
      <c r="D9" s="15">
        <f>quantumTable!A49</f>
        <v>15</v>
      </c>
      <c r="E9" s="15">
        <f>quantumTable!A50</f>
        <v>16</v>
      </c>
      <c r="F9" s="15">
        <f>quantumTable!A58</f>
        <v>18</v>
      </c>
      <c r="G9" s="15">
        <f>quantumTable!A59</f>
        <v>16</v>
      </c>
      <c r="H9" s="15">
        <f>quantumTable!A63</f>
        <v>16</v>
      </c>
      <c r="I9" s="16">
        <f>quantumTable!A64</f>
        <v>16</v>
      </c>
      <c r="M9" s="17">
        <v>-255.16840527036339</v>
      </c>
      <c r="N9" s="18">
        <v>-196.96410365861769</v>
      </c>
      <c r="O9" s="18">
        <v>-70.009081572368288</v>
      </c>
      <c r="P9" s="18">
        <v>-11.119349958205847</v>
      </c>
      <c r="Q9" s="18">
        <v>30.794166810082221</v>
      </c>
      <c r="R9" s="18">
        <v>47.644423797421361</v>
      </c>
      <c r="S9" s="18">
        <v>117.49971738461755</v>
      </c>
      <c r="T9" s="19">
        <v>98.713162632623721</v>
      </c>
      <c r="W9" s="24"/>
      <c r="X9" s="25" t="s">
        <v>7</v>
      </c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</row>
    <row r="10" spans="2:39" ht="37.5" customHeight="1">
      <c r="W10" s="25" t="s">
        <v>5</v>
      </c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</row>
    <row r="11" spans="2:39" ht="37.5" customHeight="1" thickBot="1">
      <c r="B11" s="26" t="s">
        <v>14</v>
      </c>
      <c r="C11" s="26"/>
      <c r="D11" s="26"/>
      <c r="E11" s="26"/>
      <c r="F11" s="26"/>
      <c r="G11" s="26"/>
      <c r="H11" s="26"/>
      <c r="I11" s="26"/>
      <c r="K11" s="20">
        <v>1</v>
      </c>
      <c r="M11" s="34" t="s">
        <v>12</v>
      </c>
      <c r="N11" s="34"/>
      <c r="O11" s="34"/>
      <c r="P11" s="34"/>
      <c r="Q11" s="34"/>
      <c r="R11" s="34"/>
      <c r="S11" s="34"/>
      <c r="T11" s="34"/>
    </row>
    <row r="12" spans="2:39" ht="37.5" customHeight="1">
      <c r="B12" s="5">
        <f>imageData!A1</f>
        <v>10</v>
      </c>
      <c r="C12" s="6">
        <f>imageData!A2</f>
        <v>-11</v>
      </c>
      <c r="D12" s="6">
        <f>imageData!A6</f>
        <v>0</v>
      </c>
      <c r="E12" s="6">
        <f>imageData!A7</f>
        <v>0</v>
      </c>
      <c r="F12" s="6">
        <f>imageData!A15</f>
        <v>-18</v>
      </c>
      <c r="G12" s="6">
        <f>imageData!A16</f>
        <v>9</v>
      </c>
      <c r="H12" s="6">
        <f>imageData!A28</f>
        <v>-10</v>
      </c>
      <c r="I12" s="7">
        <f>imageData!A29</f>
        <v>-2</v>
      </c>
      <c r="K12" s="21"/>
      <c r="M12" s="2">
        <f>ROUND(B12/B2,0)</f>
        <v>3</v>
      </c>
      <c r="N12" s="3">
        <f t="shared" ref="N12:T12" si="0">ROUND(C12/C2,0)</f>
        <v>-6</v>
      </c>
      <c r="O12" s="3">
        <f t="shared" si="0"/>
        <v>0</v>
      </c>
      <c r="P12" s="3">
        <f t="shared" si="0"/>
        <v>0</v>
      </c>
      <c r="Q12" s="3">
        <f t="shared" si="0"/>
        <v>-5</v>
      </c>
      <c r="R12" s="3">
        <f t="shared" si="0"/>
        <v>2</v>
      </c>
      <c r="S12" s="3">
        <f t="shared" si="0"/>
        <v>-1</v>
      </c>
      <c r="T12" s="4">
        <f t="shared" si="0"/>
        <v>0</v>
      </c>
    </row>
    <row r="13" spans="2:39" ht="37.5" customHeight="1">
      <c r="B13" s="11">
        <f>imageData!A3</f>
        <v>42</v>
      </c>
      <c r="C13" s="12">
        <f>imageData!A5</f>
        <v>45</v>
      </c>
      <c r="D13" s="12">
        <f>imageData!A8</f>
        <v>-1</v>
      </c>
      <c r="E13" s="12">
        <f>imageData!A14</f>
        <v>-34</v>
      </c>
      <c r="F13" s="12">
        <f>imageData!A17</f>
        <v>14</v>
      </c>
      <c r="G13" s="12">
        <f>imageData!A27</f>
        <v>-21</v>
      </c>
      <c r="H13" s="12">
        <f>imageData!A30</f>
        <v>9</v>
      </c>
      <c r="I13" s="13">
        <f>imageData!A43</f>
        <v>17</v>
      </c>
      <c r="K13" s="21"/>
      <c r="M13" s="8">
        <f t="shared" ref="M13:T13" si="1">ROUND(B13/B3,0)</f>
        <v>21</v>
      </c>
      <c r="N13" s="9">
        <f t="shared" si="1"/>
        <v>23</v>
      </c>
      <c r="O13" s="9">
        <f t="shared" si="1"/>
        <v>-1</v>
      </c>
      <c r="P13" s="9">
        <f t="shared" si="1"/>
        <v>-11</v>
      </c>
      <c r="Q13" s="9">
        <f t="shared" si="1"/>
        <v>4</v>
      </c>
      <c r="R13" s="9">
        <f t="shared" si="1"/>
        <v>-2</v>
      </c>
      <c r="S13" s="9">
        <f t="shared" si="1"/>
        <v>1</v>
      </c>
      <c r="T13" s="10">
        <f t="shared" si="1"/>
        <v>2</v>
      </c>
    </row>
    <row r="14" spans="2:39" ht="37.5" customHeight="1">
      <c r="B14" s="11">
        <f>imageData!A4</f>
        <v>16</v>
      </c>
      <c r="C14" s="12">
        <f>imageData!A9</f>
        <v>-10</v>
      </c>
      <c r="D14" s="12">
        <f>imageData!A13</f>
        <v>-53</v>
      </c>
      <c r="E14" s="12">
        <f>imageData!A18</f>
        <v>-60</v>
      </c>
      <c r="F14" s="12">
        <f>imageData!A26</f>
        <v>23</v>
      </c>
      <c r="G14" s="12">
        <f>imageData!A31</f>
        <v>3</v>
      </c>
      <c r="H14" s="12">
        <f>imageData!A42</f>
        <v>10</v>
      </c>
      <c r="I14" s="13">
        <f>imageData!A44</f>
        <v>76</v>
      </c>
      <c r="M14" s="8">
        <f t="shared" ref="M14:T14" si="2">ROUND(B14/B4,0)</f>
        <v>8</v>
      </c>
      <c r="N14" s="9">
        <f t="shared" si="2"/>
        <v>-5</v>
      </c>
      <c r="O14" s="9">
        <f t="shared" si="2"/>
        <v>-18</v>
      </c>
      <c r="P14" s="9">
        <f t="shared" si="2"/>
        <v>-15</v>
      </c>
      <c r="Q14" s="9">
        <f t="shared" si="2"/>
        <v>4</v>
      </c>
      <c r="R14" s="9">
        <f t="shared" si="2"/>
        <v>0</v>
      </c>
      <c r="S14" s="9">
        <f t="shared" si="2"/>
        <v>1</v>
      </c>
      <c r="T14" s="10">
        <f t="shared" si="2"/>
        <v>8</v>
      </c>
    </row>
    <row r="15" spans="2:39" ht="37.5" customHeight="1">
      <c r="B15" s="11">
        <f>imageData!A10</f>
        <v>-3</v>
      </c>
      <c r="C15" s="12">
        <f>imageData!A12</f>
        <v>47</v>
      </c>
      <c r="D15" s="12">
        <f>imageData!A19</f>
        <v>14</v>
      </c>
      <c r="E15" s="12">
        <f>imageData!A25</f>
        <v>15</v>
      </c>
      <c r="F15" s="12">
        <f>imageData!A32</f>
        <v>-12</v>
      </c>
      <c r="G15" s="12">
        <f>imageData!A41</f>
        <v>2</v>
      </c>
      <c r="H15" s="12">
        <f>imageData!A45</f>
        <v>-2</v>
      </c>
      <c r="I15" s="13">
        <f>imageData!A54</f>
        <v>15</v>
      </c>
      <c r="M15" s="8">
        <f t="shared" ref="M15:T15" si="3">ROUND(B15/B5,0)</f>
        <v>-2</v>
      </c>
      <c r="N15" s="9">
        <f t="shared" si="3"/>
        <v>16</v>
      </c>
      <c r="O15" s="9">
        <f t="shared" si="3"/>
        <v>4</v>
      </c>
      <c r="P15" s="9">
        <f t="shared" si="3"/>
        <v>3</v>
      </c>
      <c r="Q15" s="9">
        <f t="shared" si="3"/>
        <v>-2</v>
      </c>
      <c r="R15" s="9">
        <f t="shared" si="3"/>
        <v>0</v>
      </c>
      <c r="S15" s="9">
        <f t="shared" si="3"/>
        <v>0</v>
      </c>
      <c r="T15" s="10">
        <f t="shared" si="3"/>
        <v>2</v>
      </c>
    </row>
    <row r="16" spans="2:39" ht="37.5" customHeight="1">
      <c r="B16" s="11">
        <f>imageData!A11</f>
        <v>-9</v>
      </c>
      <c r="C16" s="12">
        <f>imageData!A20</f>
        <v>-2</v>
      </c>
      <c r="D16" s="12">
        <f>imageData!A24</f>
        <v>61</v>
      </c>
      <c r="E16" s="12">
        <f>imageData!A33</f>
        <v>-12</v>
      </c>
      <c r="F16" s="12">
        <f>imageData!A40</f>
        <v>2</v>
      </c>
      <c r="G16" s="12">
        <f>imageData!A46</f>
        <v>-1</v>
      </c>
      <c r="H16" s="12">
        <f>imageData!A53</f>
        <v>-13</v>
      </c>
      <c r="I16" s="13">
        <f>imageData!A55</f>
        <v>-8</v>
      </c>
      <c r="M16" s="8">
        <f t="shared" ref="M16:T16" si="4">ROUND(B16/B6,0)</f>
        <v>-3</v>
      </c>
      <c r="N16" s="9">
        <f t="shared" si="4"/>
        <v>-1</v>
      </c>
      <c r="O16" s="9">
        <f t="shared" si="4"/>
        <v>10</v>
      </c>
      <c r="P16" s="9">
        <f t="shared" si="4"/>
        <v>-1</v>
      </c>
      <c r="Q16" s="9">
        <f t="shared" si="4"/>
        <v>0</v>
      </c>
      <c r="R16" s="9">
        <f t="shared" si="4"/>
        <v>0</v>
      </c>
      <c r="S16" s="9">
        <f t="shared" si="4"/>
        <v>-1</v>
      </c>
      <c r="T16" s="10">
        <f t="shared" si="4"/>
        <v>-1</v>
      </c>
    </row>
    <row r="17" spans="2:20" ht="37.5" customHeight="1">
      <c r="B17" s="11">
        <f>imageData!A21</f>
        <v>8</v>
      </c>
      <c r="C17" s="12">
        <f>imageData!A23</f>
        <v>-22</v>
      </c>
      <c r="D17" s="12">
        <f>imageData!A34</f>
        <v>-8</v>
      </c>
      <c r="E17" s="12">
        <f>imageData!A29</f>
        <v>-2</v>
      </c>
      <c r="F17" s="12">
        <f>imageData!A47</f>
        <v>-14</v>
      </c>
      <c r="G17" s="12">
        <f>imageData!A52</f>
        <v>1</v>
      </c>
      <c r="H17" s="12">
        <f>imageData!A56</f>
        <v>-12</v>
      </c>
      <c r="I17" s="13">
        <f>imageData!A61</f>
        <v>2</v>
      </c>
      <c r="M17" s="8">
        <f t="shared" ref="M17:T17" si="5">ROUND(B17/B7,0)</f>
        <v>2</v>
      </c>
      <c r="N17" s="9">
        <f t="shared" si="5"/>
        <v>-4</v>
      </c>
      <c r="O17" s="9">
        <f t="shared" si="5"/>
        <v>-1</v>
      </c>
      <c r="P17" s="9">
        <f t="shared" si="5"/>
        <v>0</v>
      </c>
      <c r="Q17" s="9">
        <f t="shared" si="5"/>
        <v>-1</v>
      </c>
      <c r="R17" s="9">
        <f t="shared" si="5"/>
        <v>0</v>
      </c>
      <c r="S17" s="9">
        <f t="shared" si="5"/>
        <v>-1</v>
      </c>
      <c r="T17" s="10">
        <f t="shared" si="5"/>
        <v>0</v>
      </c>
    </row>
    <row r="18" spans="2:20" ht="37.5" customHeight="1">
      <c r="B18" s="11">
        <f>imageData!A22</f>
        <v>42</v>
      </c>
      <c r="C18" s="12">
        <f>imageData!A35</f>
        <v>9</v>
      </c>
      <c r="D18" s="12">
        <f>imageData!A28</f>
        <v>-10</v>
      </c>
      <c r="E18" s="12">
        <f>imageData!A48</f>
        <v>10</v>
      </c>
      <c r="F18" s="12">
        <f>imageData!A51</f>
        <v>3</v>
      </c>
      <c r="G18" s="12">
        <f>imageData!A57</f>
        <v>-3</v>
      </c>
      <c r="H18" s="12">
        <f>imageData!A60</f>
        <v>1</v>
      </c>
      <c r="I18" s="13">
        <f>imageData!A62</f>
        <v>0</v>
      </c>
      <c r="M18" s="8">
        <f t="shared" ref="M18:T18" si="6">ROUND(B18/B8,0)</f>
        <v>5</v>
      </c>
      <c r="N18" s="9">
        <f t="shared" si="6"/>
        <v>1</v>
      </c>
      <c r="O18" s="9">
        <f t="shared" si="6"/>
        <v>-1</v>
      </c>
      <c r="P18" s="9">
        <f t="shared" si="6"/>
        <v>1</v>
      </c>
      <c r="Q18" s="9">
        <f t="shared" si="6"/>
        <v>0</v>
      </c>
      <c r="R18" s="9">
        <f t="shared" si="6"/>
        <v>0</v>
      </c>
      <c r="S18" s="9">
        <f t="shared" si="6"/>
        <v>0</v>
      </c>
      <c r="T18" s="10">
        <f t="shared" si="6"/>
        <v>0</v>
      </c>
    </row>
    <row r="19" spans="2:20" ht="37.5" customHeight="1" thickBot="1">
      <c r="B19" s="17">
        <f>imageData!A36</f>
        <v>-13</v>
      </c>
      <c r="C19" s="18">
        <f>imageData!A37</f>
        <v>-9</v>
      </c>
      <c r="D19" s="18">
        <f>imageData!A49</f>
        <v>-13</v>
      </c>
      <c r="E19" s="18">
        <f>imageData!A50</f>
        <v>3</v>
      </c>
      <c r="F19" s="18">
        <f>imageData!A58</f>
        <v>0</v>
      </c>
      <c r="G19" s="18">
        <f>imageData!A59</f>
        <v>0</v>
      </c>
      <c r="H19" s="18">
        <f>imageData!A63</f>
        <v>0</v>
      </c>
      <c r="I19" s="19">
        <f>imageData!A64</f>
        <v>0</v>
      </c>
      <c r="M19" s="14">
        <f t="shared" ref="M19:T19" si="7">ROUND(B19/B9,0)</f>
        <v>-1</v>
      </c>
      <c r="N19" s="15">
        <f t="shared" si="7"/>
        <v>-1</v>
      </c>
      <c r="O19" s="15">
        <f t="shared" si="7"/>
        <v>-1</v>
      </c>
      <c r="P19" s="15">
        <f t="shared" si="7"/>
        <v>0</v>
      </c>
      <c r="Q19" s="15">
        <f t="shared" si="7"/>
        <v>0</v>
      </c>
      <c r="R19" s="15">
        <f t="shared" si="7"/>
        <v>0</v>
      </c>
      <c r="S19" s="15">
        <f t="shared" si="7"/>
        <v>0</v>
      </c>
      <c r="T19" s="16">
        <f t="shared" si="7"/>
        <v>0</v>
      </c>
    </row>
    <row r="20" spans="2:20" ht="37.5" customHeight="1" thickBot="1">
      <c r="B20" s="22"/>
      <c r="C20" s="22"/>
      <c r="D20" s="22"/>
      <c r="E20" s="22"/>
      <c r="F20" s="22"/>
      <c r="G20" s="22"/>
      <c r="H20" s="22"/>
      <c r="I20" s="22"/>
      <c r="M20" s="12"/>
      <c r="N20" s="12"/>
      <c r="O20" s="12"/>
      <c r="P20" s="12"/>
      <c r="Q20" s="12"/>
      <c r="R20" s="12"/>
      <c r="S20" s="12"/>
      <c r="T20" s="12"/>
    </row>
    <row r="21" spans="2:20" ht="37.5" customHeight="1" thickBot="1">
      <c r="M21" s="30" t="s">
        <v>0</v>
      </c>
      <c r="N21" s="31"/>
      <c r="O21" s="31"/>
      <c r="P21" s="31"/>
      <c r="Q21" s="31"/>
      <c r="R21" s="31"/>
      <c r="S21" s="31"/>
      <c r="T21" s="32"/>
    </row>
    <row r="22" spans="2:20" ht="37.5" customHeight="1" thickBot="1">
      <c r="M22" s="27">
        <f>COUNTIF(B12:I19,"&lt;&gt;0")/64</f>
        <v>0.890625</v>
      </c>
      <c r="N22" s="28"/>
      <c r="O22" s="28"/>
      <c r="P22" s="28"/>
      <c r="Q22" s="28"/>
      <c r="R22" s="28"/>
      <c r="S22" s="28"/>
      <c r="T22" s="29"/>
    </row>
  </sheetData>
  <mergeCells count="16">
    <mergeCell ref="M22:T22"/>
    <mergeCell ref="M21:T21"/>
    <mergeCell ref="W1:AM1"/>
    <mergeCell ref="W2:AM2"/>
    <mergeCell ref="X3:AM3"/>
    <mergeCell ref="W5:AM5"/>
    <mergeCell ref="W6:AM6"/>
    <mergeCell ref="X7:AM7"/>
    <mergeCell ref="X8:AM8"/>
    <mergeCell ref="W10:AM10"/>
    <mergeCell ref="X9:AM9"/>
    <mergeCell ref="X4:AM4"/>
    <mergeCell ref="B1:I1"/>
    <mergeCell ref="M1:T1"/>
    <mergeCell ref="B11:I11"/>
    <mergeCell ref="M11:T11"/>
  </mergeCells>
  <conditionalFormatting sqref="B20:I20">
    <cfRule type="colorScale" priority="7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20:T20 B12:I19">
    <cfRule type="colorScale" priority="7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2:T9">
    <cfRule type="colorScale" priority="70">
      <colorScale>
        <cfvo type="min"/>
        <cfvo type="max"/>
        <color rgb="FF63BE7B"/>
        <color rgb="FFFCFCFF"/>
      </colorScale>
    </cfRule>
  </conditionalFormatting>
  <conditionalFormatting sqref="B2:I9">
    <cfRule type="colorScale" priority="1">
      <colorScale>
        <cfvo type="min"/>
        <cfvo type="max"/>
        <color rgb="FF63BE7B"/>
        <color rgb="FFFCFCFF"/>
      </colorScale>
    </cfRule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9</xdr:col>
                    <xdr:colOff>144780</xdr:colOff>
                    <xdr:row>3</xdr:row>
                    <xdr:rowOff>22860</xdr:rowOff>
                  </from>
                  <to>
                    <xdr:col>11</xdr:col>
                    <xdr:colOff>289560</xdr:colOff>
                    <xdr:row>6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ボタン2_Click">
                <anchor moveWithCells="1" sizeWithCells="1">
                  <from>
                    <xdr:col>9</xdr:col>
                    <xdr:colOff>160020</xdr:colOff>
                    <xdr:row>12</xdr:row>
                    <xdr:rowOff>350520</xdr:rowOff>
                  </from>
                  <to>
                    <xdr:col>11</xdr:col>
                    <xdr:colOff>312420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6"/>
  <sheetViews>
    <sheetView topLeftCell="A5" zoomScale="55" zoomScaleNormal="55" workbookViewId="0">
      <selection activeCell="S10" sqref="S10:Z17"/>
    </sheetView>
  </sheetViews>
  <sheetFormatPr defaultColWidth="7.109375" defaultRowHeight="37.5" customHeight="1"/>
  <cols>
    <col min="1" max="16384" width="7.109375" style="1"/>
  </cols>
  <sheetData>
    <row r="1" spans="1:26" ht="37.5" customHeight="1">
      <c r="A1" s="2">
        <v>255</v>
      </c>
      <c r="B1" s="3">
        <v>200</v>
      </c>
      <c r="C1" s="3">
        <v>200</v>
      </c>
      <c r="D1" s="3">
        <v>128</v>
      </c>
      <c r="E1" s="3">
        <v>128</v>
      </c>
      <c r="F1" s="3">
        <v>200</v>
      </c>
      <c r="G1" s="3">
        <v>255</v>
      </c>
      <c r="H1" s="4">
        <v>255</v>
      </c>
      <c r="J1" s="2">
        <v>255</v>
      </c>
      <c r="K1" s="3">
        <v>255</v>
      </c>
      <c r="L1" s="3">
        <v>200</v>
      </c>
      <c r="M1" s="3">
        <v>128</v>
      </c>
      <c r="N1" s="3">
        <v>128</v>
      </c>
      <c r="O1" s="3">
        <v>128</v>
      </c>
      <c r="P1" s="3">
        <v>200</v>
      </c>
      <c r="Q1" s="4">
        <v>255</v>
      </c>
      <c r="S1" s="2">
        <v>255</v>
      </c>
      <c r="T1" s="3">
        <v>255</v>
      </c>
      <c r="U1" s="3">
        <v>255</v>
      </c>
      <c r="V1" s="3">
        <v>255</v>
      </c>
      <c r="W1" s="3">
        <v>255</v>
      </c>
      <c r="X1" s="3">
        <v>255</v>
      </c>
      <c r="Y1" s="3">
        <v>255</v>
      </c>
      <c r="Z1" s="4">
        <v>255</v>
      </c>
    </row>
    <row r="2" spans="1:26" ht="37.5" customHeight="1">
      <c r="A2" s="8">
        <v>255</v>
      </c>
      <c r="B2" s="9">
        <v>200</v>
      </c>
      <c r="C2" s="9">
        <v>128</v>
      </c>
      <c r="D2" s="9">
        <v>128</v>
      </c>
      <c r="E2" s="9">
        <v>128</v>
      </c>
      <c r="F2" s="9">
        <v>200</v>
      </c>
      <c r="G2" s="9">
        <v>255</v>
      </c>
      <c r="H2" s="10">
        <v>255</v>
      </c>
      <c r="J2" s="8">
        <v>255</v>
      </c>
      <c r="K2" s="9">
        <v>200</v>
      </c>
      <c r="L2" s="9">
        <v>200</v>
      </c>
      <c r="M2" s="9">
        <v>128</v>
      </c>
      <c r="N2" s="9">
        <v>200</v>
      </c>
      <c r="O2" s="9">
        <v>128</v>
      </c>
      <c r="P2" s="9">
        <v>200</v>
      </c>
      <c r="Q2" s="10">
        <v>200</v>
      </c>
      <c r="S2" s="8">
        <v>255</v>
      </c>
      <c r="T2" s="9">
        <v>150</v>
      </c>
      <c r="U2" s="9">
        <v>150</v>
      </c>
      <c r="V2" s="9">
        <v>150</v>
      </c>
      <c r="W2" s="9">
        <v>150</v>
      </c>
      <c r="X2" s="9">
        <v>150</v>
      </c>
      <c r="Y2" s="9">
        <v>150</v>
      </c>
      <c r="Z2" s="10">
        <v>255</v>
      </c>
    </row>
    <row r="3" spans="1:26" ht="37.5" customHeight="1">
      <c r="A3" s="8">
        <v>255</v>
      </c>
      <c r="B3" s="9">
        <v>200</v>
      </c>
      <c r="C3" s="9">
        <v>128</v>
      </c>
      <c r="D3" s="9">
        <v>128</v>
      </c>
      <c r="E3" s="9">
        <v>128</v>
      </c>
      <c r="F3" s="9">
        <v>200</v>
      </c>
      <c r="G3" s="9">
        <v>255</v>
      </c>
      <c r="H3" s="10">
        <v>255</v>
      </c>
      <c r="J3" s="8">
        <v>255</v>
      </c>
      <c r="K3" s="9">
        <v>200</v>
      </c>
      <c r="L3" s="9">
        <v>128</v>
      </c>
      <c r="M3" s="9">
        <v>200</v>
      </c>
      <c r="N3" s="9">
        <v>200</v>
      </c>
      <c r="O3" s="9">
        <v>200</v>
      </c>
      <c r="P3" s="9">
        <v>128</v>
      </c>
      <c r="Q3" s="10">
        <v>200</v>
      </c>
      <c r="S3" s="8">
        <v>255</v>
      </c>
      <c r="T3" s="9">
        <v>150</v>
      </c>
      <c r="U3" s="9">
        <v>100</v>
      </c>
      <c r="V3" s="9">
        <v>100</v>
      </c>
      <c r="W3" s="9">
        <v>100</v>
      </c>
      <c r="X3" s="9">
        <v>100</v>
      </c>
      <c r="Y3" s="9">
        <v>150</v>
      </c>
      <c r="Z3" s="10">
        <v>255</v>
      </c>
    </row>
    <row r="4" spans="1:26" ht="37.5" customHeight="1">
      <c r="A4" s="8">
        <v>255</v>
      </c>
      <c r="B4" s="9">
        <v>200</v>
      </c>
      <c r="C4" s="9">
        <v>200</v>
      </c>
      <c r="D4" s="9">
        <v>128</v>
      </c>
      <c r="E4" s="9">
        <v>128</v>
      </c>
      <c r="F4" s="9">
        <v>200</v>
      </c>
      <c r="G4" s="9">
        <v>255</v>
      </c>
      <c r="H4" s="10">
        <v>255</v>
      </c>
      <c r="J4" s="8">
        <v>255</v>
      </c>
      <c r="K4" s="9">
        <v>200</v>
      </c>
      <c r="L4" s="9">
        <v>128</v>
      </c>
      <c r="M4" s="9">
        <v>200</v>
      </c>
      <c r="N4" s="9">
        <v>255</v>
      </c>
      <c r="O4" s="9">
        <v>200</v>
      </c>
      <c r="P4" s="9">
        <v>128</v>
      </c>
      <c r="Q4" s="10">
        <v>200</v>
      </c>
      <c r="S4" s="8">
        <v>255</v>
      </c>
      <c r="T4" s="9">
        <v>150</v>
      </c>
      <c r="U4" s="9">
        <v>100</v>
      </c>
      <c r="V4" s="9">
        <v>50</v>
      </c>
      <c r="W4" s="9">
        <v>50</v>
      </c>
      <c r="X4" s="9">
        <v>100</v>
      </c>
      <c r="Y4" s="9">
        <v>150</v>
      </c>
      <c r="Z4" s="10">
        <v>255</v>
      </c>
    </row>
    <row r="5" spans="1:26" ht="37.5" customHeight="1">
      <c r="A5" s="8">
        <v>255</v>
      </c>
      <c r="B5" s="9">
        <v>255</v>
      </c>
      <c r="C5" s="9">
        <v>200</v>
      </c>
      <c r="D5" s="9">
        <v>128</v>
      </c>
      <c r="E5" s="9">
        <v>128</v>
      </c>
      <c r="F5" s="9">
        <v>200</v>
      </c>
      <c r="G5" s="9">
        <v>255</v>
      </c>
      <c r="H5" s="10">
        <v>255</v>
      </c>
      <c r="J5" s="8">
        <v>255</v>
      </c>
      <c r="K5" s="9">
        <v>200</v>
      </c>
      <c r="L5" s="9">
        <v>128</v>
      </c>
      <c r="M5" s="9">
        <v>200</v>
      </c>
      <c r="N5" s="9">
        <v>200</v>
      </c>
      <c r="O5" s="9">
        <v>200</v>
      </c>
      <c r="P5" s="9">
        <v>128</v>
      </c>
      <c r="Q5" s="10">
        <v>200</v>
      </c>
      <c r="S5" s="8">
        <v>255</v>
      </c>
      <c r="T5" s="9">
        <v>150</v>
      </c>
      <c r="U5" s="9">
        <v>100</v>
      </c>
      <c r="V5" s="9">
        <v>50</v>
      </c>
      <c r="W5" s="9">
        <v>50</v>
      </c>
      <c r="X5" s="9">
        <v>100</v>
      </c>
      <c r="Y5" s="9">
        <v>150</v>
      </c>
      <c r="Z5" s="10">
        <v>255</v>
      </c>
    </row>
    <row r="6" spans="1:26" ht="37.5" customHeight="1">
      <c r="A6" s="8">
        <v>255</v>
      </c>
      <c r="B6" s="9">
        <v>255</v>
      </c>
      <c r="C6" s="9">
        <v>200</v>
      </c>
      <c r="D6" s="9">
        <v>128</v>
      </c>
      <c r="E6" s="9">
        <v>128</v>
      </c>
      <c r="F6" s="9">
        <v>200</v>
      </c>
      <c r="G6" s="9">
        <v>255</v>
      </c>
      <c r="H6" s="10">
        <v>255</v>
      </c>
      <c r="J6" s="8">
        <v>255</v>
      </c>
      <c r="K6" s="9">
        <v>200</v>
      </c>
      <c r="L6" s="9">
        <v>128</v>
      </c>
      <c r="M6" s="9">
        <v>128</v>
      </c>
      <c r="N6" s="9">
        <v>128</v>
      </c>
      <c r="O6" s="9">
        <v>128</v>
      </c>
      <c r="P6" s="9">
        <v>128</v>
      </c>
      <c r="Q6" s="10">
        <v>200</v>
      </c>
      <c r="S6" s="8">
        <v>255</v>
      </c>
      <c r="T6" s="9">
        <v>150</v>
      </c>
      <c r="U6" s="9">
        <v>100</v>
      </c>
      <c r="V6" s="9">
        <v>100</v>
      </c>
      <c r="W6" s="9">
        <v>100</v>
      </c>
      <c r="X6" s="9">
        <v>100</v>
      </c>
      <c r="Y6" s="9">
        <v>150</v>
      </c>
      <c r="Z6" s="10">
        <v>255</v>
      </c>
    </row>
    <row r="7" spans="1:26" ht="37.5" customHeight="1">
      <c r="A7" s="8">
        <v>255</v>
      </c>
      <c r="B7" s="9">
        <v>200</v>
      </c>
      <c r="C7" s="9">
        <v>200</v>
      </c>
      <c r="D7" s="9">
        <v>128</v>
      </c>
      <c r="E7" s="9">
        <v>128</v>
      </c>
      <c r="F7" s="9">
        <v>200</v>
      </c>
      <c r="G7" s="9">
        <v>200</v>
      </c>
      <c r="H7" s="10">
        <v>255</v>
      </c>
      <c r="J7" s="8">
        <v>255</v>
      </c>
      <c r="K7" s="9">
        <v>200</v>
      </c>
      <c r="L7" s="9">
        <v>128</v>
      </c>
      <c r="M7" s="9">
        <v>200</v>
      </c>
      <c r="N7" s="9">
        <v>200</v>
      </c>
      <c r="O7" s="9">
        <v>200</v>
      </c>
      <c r="P7" s="9">
        <v>128</v>
      </c>
      <c r="Q7" s="10">
        <v>200</v>
      </c>
      <c r="S7" s="8">
        <v>255</v>
      </c>
      <c r="T7" s="9">
        <v>150</v>
      </c>
      <c r="U7" s="9">
        <v>150</v>
      </c>
      <c r="V7" s="9">
        <v>150</v>
      </c>
      <c r="W7" s="9">
        <v>150</v>
      </c>
      <c r="X7" s="9">
        <v>150</v>
      </c>
      <c r="Y7" s="9">
        <v>150</v>
      </c>
      <c r="Z7" s="10">
        <v>255</v>
      </c>
    </row>
    <row r="8" spans="1:26" ht="37.5" customHeight="1" thickBot="1">
      <c r="A8" s="14">
        <v>255</v>
      </c>
      <c r="B8" s="15">
        <v>200</v>
      </c>
      <c r="C8" s="15">
        <v>128</v>
      </c>
      <c r="D8" s="15">
        <v>128</v>
      </c>
      <c r="E8" s="15">
        <v>128</v>
      </c>
      <c r="F8" s="15">
        <v>128</v>
      </c>
      <c r="G8" s="15">
        <v>200</v>
      </c>
      <c r="H8" s="16">
        <v>255</v>
      </c>
      <c r="J8" s="14">
        <v>255</v>
      </c>
      <c r="K8" s="15">
        <v>200</v>
      </c>
      <c r="L8" s="15">
        <v>128</v>
      </c>
      <c r="M8" s="15">
        <v>255</v>
      </c>
      <c r="N8" s="15">
        <v>255</v>
      </c>
      <c r="O8" s="15">
        <v>255</v>
      </c>
      <c r="P8" s="15">
        <v>128</v>
      </c>
      <c r="Q8" s="16">
        <v>200</v>
      </c>
      <c r="S8" s="14">
        <v>255</v>
      </c>
      <c r="T8" s="15">
        <v>255</v>
      </c>
      <c r="U8" s="15">
        <v>255</v>
      </c>
      <c r="V8" s="15">
        <v>255</v>
      </c>
      <c r="W8" s="15">
        <v>255</v>
      </c>
      <c r="X8" s="15">
        <v>255</v>
      </c>
      <c r="Y8" s="15">
        <v>255</v>
      </c>
      <c r="Z8" s="16">
        <v>255</v>
      </c>
    </row>
    <row r="9" spans="1:26" ht="37.5" customHeight="1" thickBot="1"/>
    <row r="10" spans="1:26" ht="37.5" customHeight="1">
      <c r="A10" s="2">
        <v>255</v>
      </c>
      <c r="B10" s="3">
        <v>255</v>
      </c>
      <c r="C10" s="3">
        <v>255</v>
      </c>
      <c r="D10" s="3">
        <v>128</v>
      </c>
      <c r="E10" s="3">
        <v>128</v>
      </c>
      <c r="F10" s="3">
        <v>255</v>
      </c>
      <c r="G10" s="3">
        <v>255</v>
      </c>
      <c r="H10" s="4">
        <v>255</v>
      </c>
      <c r="J10" s="2">
        <v>255</v>
      </c>
      <c r="K10" s="3">
        <v>255</v>
      </c>
      <c r="L10" s="3">
        <v>255</v>
      </c>
      <c r="M10" s="3">
        <v>128</v>
      </c>
      <c r="N10" s="3">
        <v>128</v>
      </c>
      <c r="O10" s="3">
        <v>128</v>
      </c>
      <c r="P10" s="3">
        <v>255</v>
      </c>
      <c r="Q10" s="4">
        <v>255</v>
      </c>
      <c r="S10" s="2">
        <v>255</v>
      </c>
      <c r="T10" s="3">
        <v>255</v>
      </c>
      <c r="U10" s="3">
        <v>255</v>
      </c>
      <c r="V10" s="3">
        <v>255</v>
      </c>
      <c r="W10" s="3">
        <v>255</v>
      </c>
      <c r="X10" s="3">
        <v>255</v>
      </c>
      <c r="Y10" s="3">
        <v>255</v>
      </c>
      <c r="Z10" s="4">
        <v>255</v>
      </c>
    </row>
    <row r="11" spans="1:26" ht="37.5" customHeight="1">
      <c r="A11" s="8">
        <v>255</v>
      </c>
      <c r="B11" s="9">
        <v>255</v>
      </c>
      <c r="C11" s="9">
        <v>128</v>
      </c>
      <c r="D11" s="9">
        <v>128</v>
      </c>
      <c r="E11" s="9">
        <v>128</v>
      </c>
      <c r="F11" s="9">
        <v>255</v>
      </c>
      <c r="G11" s="9">
        <v>255</v>
      </c>
      <c r="H11" s="10">
        <v>255</v>
      </c>
      <c r="J11" s="8">
        <v>255</v>
      </c>
      <c r="K11" s="9">
        <v>255</v>
      </c>
      <c r="L11" s="9">
        <v>255</v>
      </c>
      <c r="M11" s="9">
        <v>128</v>
      </c>
      <c r="N11" s="9">
        <v>255</v>
      </c>
      <c r="O11" s="9">
        <v>128</v>
      </c>
      <c r="P11" s="9">
        <v>255</v>
      </c>
      <c r="Q11" s="10">
        <v>255</v>
      </c>
      <c r="S11" s="8">
        <v>255</v>
      </c>
      <c r="T11" s="9">
        <v>255</v>
      </c>
      <c r="U11" s="9">
        <v>255</v>
      </c>
      <c r="V11" s="9">
        <v>255</v>
      </c>
      <c r="W11" s="9">
        <v>255</v>
      </c>
      <c r="X11" s="9">
        <v>255</v>
      </c>
      <c r="Y11" s="9">
        <v>255</v>
      </c>
      <c r="Z11" s="10">
        <v>255</v>
      </c>
    </row>
    <row r="12" spans="1:26" ht="37.5" customHeight="1">
      <c r="A12" s="8">
        <v>255</v>
      </c>
      <c r="B12" s="9">
        <v>255</v>
      </c>
      <c r="C12" s="9">
        <v>128</v>
      </c>
      <c r="D12" s="9">
        <v>128</v>
      </c>
      <c r="E12" s="9">
        <v>128</v>
      </c>
      <c r="F12" s="9">
        <v>255</v>
      </c>
      <c r="G12" s="9">
        <v>255</v>
      </c>
      <c r="H12" s="10">
        <v>255</v>
      </c>
      <c r="J12" s="8">
        <v>255</v>
      </c>
      <c r="K12" s="9">
        <v>255</v>
      </c>
      <c r="L12" s="9">
        <v>128</v>
      </c>
      <c r="M12" s="9">
        <v>255</v>
      </c>
      <c r="N12" s="9">
        <v>255</v>
      </c>
      <c r="O12" s="9">
        <v>255</v>
      </c>
      <c r="P12" s="9">
        <v>128</v>
      </c>
      <c r="Q12" s="10">
        <v>255</v>
      </c>
      <c r="S12" s="8">
        <v>255</v>
      </c>
      <c r="T12" s="9">
        <v>255</v>
      </c>
      <c r="U12" s="9">
        <v>100</v>
      </c>
      <c r="V12" s="9">
        <v>100</v>
      </c>
      <c r="W12" s="9">
        <v>100</v>
      </c>
      <c r="X12" s="9">
        <v>100</v>
      </c>
      <c r="Y12" s="9">
        <v>255</v>
      </c>
      <c r="Z12" s="10">
        <v>255</v>
      </c>
    </row>
    <row r="13" spans="1:26" ht="37.5" customHeight="1">
      <c r="A13" s="8">
        <v>255</v>
      </c>
      <c r="B13" s="9">
        <v>255</v>
      </c>
      <c r="C13" s="9">
        <v>255</v>
      </c>
      <c r="D13" s="9">
        <v>128</v>
      </c>
      <c r="E13" s="9">
        <v>128</v>
      </c>
      <c r="F13" s="9">
        <v>255</v>
      </c>
      <c r="G13" s="9">
        <v>255</v>
      </c>
      <c r="H13" s="10">
        <v>255</v>
      </c>
      <c r="J13" s="8">
        <v>255</v>
      </c>
      <c r="K13" s="9">
        <v>255</v>
      </c>
      <c r="L13" s="9">
        <v>128</v>
      </c>
      <c r="M13" s="9">
        <v>255</v>
      </c>
      <c r="N13" s="9">
        <v>255</v>
      </c>
      <c r="O13" s="9">
        <v>255</v>
      </c>
      <c r="P13" s="9">
        <v>128</v>
      </c>
      <c r="Q13" s="10">
        <v>255</v>
      </c>
      <c r="S13" s="8">
        <v>255</v>
      </c>
      <c r="T13" s="9">
        <v>255</v>
      </c>
      <c r="U13" s="9">
        <v>100</v>
      </c>
      <c r="V13" s="9">
        <v>50</v>
      </c>
      <c r="W13" s="9">
        <v>50</v>
      </c>
      <c r="X13" s="9">
        <v>100</v>
      </c>
      <c r="Y13" s="9">
        <v>255</v>
      </c>
      <c r="Z13" s="10">
        <v>255</v>
      </c>
    </row>
    <row r="14" spans="1:26" ht="37.5" customHeight="1">
      <c r="A14" s="8">
        <v>255</v>
      </c>
      <c r="B14" s="9">
        <v>255</v>
      </c>
      <c r="C14" s="9">
        <v>255</v>
      </c>
      <c r="D14" s="9">
        <v>128</v>
      </c>
      <c r="E14" s="9">
        <v>128</v>
      </c>
      <c r="F14" s="9">
        <v>255</v>
      </c>
      <c r="G14" s="9">
        <v>255</v>
      </c>
      <c r="H14" s="10">
        <v>255</v>
      </c>
      <c r="J14" s="8">
        <v>255</v>
      </c>
      <c r="K14" s="9">
        <v>255</v>
      </c>
      <c r="L14" s="9">
        <v>128</v>
      </c>
      <c r="M14" s="9">
        <v>255</v>
      </c>
      <c r="N14" s="9">
        <v>255</v>
      </c>
      <c r="O14" s="9">
        <v>255</v>
      </c>
      <c r="P14" s="9">
        <v>128</v>
      </c>
      <c r="Q14" s="10">
        <v>255</v>
      </c>
      <c r="S14" s="8">
        <v>255</v>
      </c>
      <c r="T14" s="9">
        <v>255</v>
      </c>
      <c r="U14" s="9">
        <v>100</v>
      </c>
      <c r="V14" s="9">
        <v>50</v>
      </c>
      <c r="W14" s="9">
        <v>50</v>
      </c>
      <c r="X14" s="9">
        <v>100</v>
      </c>
      <c r="Y14" s="9">
        <v>255</v>
      </c>
      <c r="Z14" s="10">
        <v>255</v>
      </c>
    </row>
    <row r="15" spans="1:26" ht="37.5" customHeight="1">
      <c r="A15" s="8">
        <v>255</v>
      </c>
      <c r="B15" s="9">
        <v>255</v>
      </c>
      <c r="C15" s="9">
        <v>255</v>
      </c>
      <c r="D15" s="9">
        <v>128</v>
      </c>
      <c r="E15" s="9">
        <v>128</v>
      </c>
      <c r="F15" s="9">
        <v>255</v>
      </c>
      <c r="G15" s="9">
        <v>255</v>
      </c>
      <c r="H15" s="10">
        <v>255</v>
      </c>
      <c r="J15" s="8">
        <v>255</v>
      </c>
      <c r="K15" s="9">
        <v>255</v>
      </c>
      <c r="L15" s="9">
        <v>128</v>
      </c>
      <c r="M15" s="9">
        <v>128</v>
      </c>
      <c r="N15" s="9">
        <v>128</v>
      </c>
      <c r="O15" s="9">
        <v>128</v>
      </c>
      <c r="P15" s="9">
        <v>128</v>
      </c>
      <c r="Q15" s="10">
        <v>255</v>
      </c>
      <c r="S15" s="8">
        <v>255</v>
      </c>
      <c r="T15" s="9">
        <v>255</v>
      </c>
      <c r="U15" s="9">
        <v>100</v>
      </c>
      <c r="V15" s="9">
        <v>100</v>
      </c>
      <c r="W15" s="9">
        <v>100</v>
      </c>
      <c r="X15" s="9">
        <v>100</v>
      </c>
      <c r="Y15" s="9">
        <v>255</v>
      </c>
      <c r="Z15" s="10">
        <v>255</v>
      </c>
    </row>
    <row r="16" spans="1:26" ht="37.5" customHeight="1">
      <c r="A16" s="8">
        <v>255</v>
      </c>
      <c r="B16" s="9">
        <v>255</v>
      </c>
      <c r="C16" s="9">
        <v>255</v>
      </c>
      <c r="D16" s="9">
        <v>128</v>
      </c>
      <c r="E16" s="9">
        <v>128</v>
      </c>
      <c r="F16" s="9">
        <v>255</v>
      </c>
      <c r="G16" s="9">
        <v>255</v>
      </c>
      <c r="H16" s="10">
        <v>255</v>
      </c>
      <c r="J16" s="8">
        <v>255</v>
      </c>
      <c r="K16" s="9">
        <v>255</v>
      </c>
      <c r="L16" s="9">
        <v>128</v>
      </c>
      <c r="M16" s="9">
        <v>255</v>
      </c>
      <c r="N16" s="9">
        <v>255</v>
      </c>
      <c r="O16" s="9">
        <v>255</v>
      </c>
      <c r="P16" s="9">
        <v>128</v>
      </c>
      <c r="Q16" s="10">
        <v>255</v>
      </c>
      <c r="S16" s="8">
        <v>255</v>
      </c>
      <c r="T16" s="9">
        <v>255</v>
      </c>
      <c r="U16" s="9">
        <v>255</v>
      </c>
      <c r="V16" s="9">
        <v>255</v>
      </c>
      <c r="W16" s="9">
        <v>255</v>
      </c>
      <c r="X16" s="9">
        <v>255</v>
      </c>
      <c r="Y16" s="9">
        <v>255</v>
      </c>
      <c r="Z16" s="10">
        <v>255</v>
      </c>
    </row>
    <row r="17" spans="1:26" ht="37.5" customHeight="1" thickBot="1">
      <c r="A17" s="14">
        <v>255</v>
      </c>
      <c r="B17" s="15">
        <v>255</v>
      </c>
      <c r="C17" s="15">
        <v>128</v>
      </c>
      <c r="D17" s="15">
        <v>128</v>
      </c>
      <c r="E17" s="15">
        <v>128</v>
      </c>
      <c r="F17" s="15">
        <v>128</v>
      </c>
      <c r="G17" s="15">
        <v>255</v>
      </c>
      <c r="H17" s="16">
        <v>255</v>
      </c>
      <c r="J17" s="14">
        <v>255</v>
      </c>
      <c r="K17" s="15">
        <v>255</v>
      </c>
      <c r="L17" s="15">
        <v>128</v>
      </c>
      <c r="M17" s="15">
        <v>255</v>
      </c>
      <c r="N17" s="15">
        <v>255</v>
      </c>
      <c r="O17" s="15">
        <v>255</v>
      </c>
      <c r="P17" s="15">
        <v>128</v>
      </c>
      <c r="Q17" s="16">
        <v>255</v>
      </c>
      <c r="S17" s="14">
        <v>255</v>
      </c>
      <c r="T17" s="15">
        <v>255</v>
      </c>
      <c r="U17" s="15">
        <v>255</v>
      </c>
      <c r="V17" s="15">
        <v>255</v>
      </c>
      <c r="W17" s="15">
        <v>255</v>
      </c>
      <c r="X17" s="15">
        <v>255</v>
      </c>
      <c r="Y17" s="15">
        <v>255</v>
      </c>
      <c r="Z17" s="16">
        <v>255</v>
      </c>
    </row>
    <row r="18" spans="1:26" ht="37.5" customHeight="1" thickBot="1"/>
    <row r="19" spans="1:26" ht="37.5" customHeight="1">
      <c r="A19" s="2">
        <v>255</v>
      </c>
      <c r="B19" s="3">
        <v>255</v>
      </c>
      <c r="C19" s="3">
        <v>255</v>
      </c>
      <c r="D19" s="3">
        <v>255</v>
      </c>
      <c r="E19" s="3">
        <v>255</v>
      </c>
      <c r="F19" s="3">
        <v>255</v>
      </c>
      <c r="G19" s="3">
        <v>255</v>
      </c>
      <c r="H19" s="4">
        <v>255</v>
      </c>
      <c r="J19" s="2">
        <v>0</v>
      </c>
      <c r="K19" s="3">
        <v>0</v>
      </c>
      <c r="L19" s="3">
        <v>0</v>
      </c>
      <c r="M19" s="3">
        <v>50</v>
      </c>
      <c r="N19" s="3">
        <v>100</v>
      </c>
      <c r="O19" s="3">
        <v>150</v>
      </c>
      <c r="P19" s="3">
        <v>200</v>
      </c>
      <c r="Q19" s="4">
        <v>255</v>
      </c>
      <c r="S19" s="2">
        <v>0</v>
      </c>
      <c r="T19" s="3">
        <v>0</v>
      </c>
      <c r="U19" s="3">
        <v>0</v>
      </c>
      <c r="V19" s="3">
        <v>50</v>
      </c>
      <c r="W19" s="3">
        <v>100</v>
      </c>
      <c r="X19" s="3">
        <v>150</v>
      </c>
      <c r="Y19" s="3">
        <v>200</v>
      </c>
      <c r="Z19" s="4">
        <v>255</v>
      </c>
    </row>
    <row r="20" spans="1:26" ht="37.5" customHeight="1">
      <c r="A20" s="8">
        <v>255</v>
      </c>
      <c r="B20" s="9">
        <v>200</v>
      </c>
      <c r="C20" s="9">
        <v>200</v>
      </c>
      <c r="D20" s="9">
        <v>200</v>
      </c>
      <c r="E20" s="9">
        <v>200</v>
      </c>
      <c r="F20" s="9">
        <v>200</v>
      </c>
      <c r="G20" s="9">
        <v>200</v>
      </c>
      <c r="H20" s="10">
        <v>200</v>
      </c>
      <c r="J20" s="8">
        <v>0</v>
      </c>
      <c r="K20" s="9">
        <v>0</v>
      </c>
      <c r="L20" s="9">
        <v>0</v>
      </c>
      <c r="M20" s="9">
        <v>50</v>
      </c>
      <c r="N20" s="9">
        <v>100</v>
      </c>
      <c r="O20" s="9">
        <v>150</v>
      </c>
      <c r="P20" s="9">
        <v>200</v>
      </c>
      <c r="Q20" s="10">
        <v>255</v>
      </c>
      <c r="S20" s="8">
        <v>0</v>
      </c>
      <c r="T20" s="9">
        <v>0</v>
      </c>
      <c r="U20" s="9">
        <v>50</v>
      </c>
      <c r="V20" s="9">
        <v>50</v>
      </c>
      <c r="W20" s="9">
        <v>100</v>
      </c>
      <c r="X20" s="9">
        <v>150</v>
      </c>
      <c r="Y20" s="9">
        <v>200</v>
      </c>
      <c r="Z20" s="10">
        <v>255</v>
      </c>
    </row>
    <row r="21" spans="1:26" ht="37.5" customHeight="1">
      <c r="A21" s="8">
        <v>255</v>
      </c>
      <c r="B21" s="9">
        <v>200</v>
      </c>
      <c r="C21" s="9">
        <v>150</v>
      </c>
      <c r="D21" s="9">
        <v>150</v>
      </c>
      <c r="E21" s="9">
        <v>150</v>
      </c>
      <c r="F21" s="9">
        <v>150</v>
      </c>
      <c r="G21" s="9">
        <v>150</v>
      </c>
      <c r="H21" s="10">
        <v>150</v>
      </c>
      <c r="J21" s="8">
        <v>0</v>
      </c>
      <c r="K21" s="9">
        <v>0</v>
      </c>
      <c r="L21" s="9">
        <v>0</v>
      </c>
      <c r="M21" s="9">
        <v>50</v>
      </c>
      <c r="N21" s="9">
        <v>100</v>
      </c>
      <c r="O21" s="9">
        <v>150</v>
      </c>
      <c r="P21" s="9">
        <v>200</v>
      </c>
      <c r="Q21" s="10">
        <v>255</v>
      </c>
      <c r="S21" s="8">
        <v>0</v>
      </c>
      <c r="T21" s="9">
        <v>50</v>
      </c>
      <c r="U21" s="9">
        <v>50</v>
      </c>
      <c r="V21" s="9">
        <v>100</v>
      </c>
      <c r="W21" s="9">
        <v>100</v>
      </c>
      <c r="X21" s="9">
        <v>150</v>
      </c>
      <c r="Y21" s="9">
        <v>200</v>
      </c>
      <c r="Z21" s="10">
        <v>255</v>
      </c>
    </row>
    <row r="22" spans="1:26" ht="37.5" customHeight="1">
      <c r="A22" s="8">
        <v>255</v>
      </c>
      <c r="B22" s="9">
        <v>200</v>
      </c>
      <c r="C22" s="9">
        <v>150</v>
      </c>
      <c r="D22" s="9">
        <v>100</v>
      </c>
      <c r="E22" s="9">
        <v>100</v>
      </c>
      <c r="F22" s="9">
        <v>100</v>
      </c>
      <c r="G22" s="9">
        <v>100</v>
      </c>
      <c r="H22" s="10">
        <v>100</v>
      </c>
      <c r="J22" s="8">
        <v>50</v>
      </c>
      <c r="K22" s="9">
        <v>50</v>
      </c>
      <c r="L22" s="9">
        <v>50</v>
      </c>
      <c r="M22" s="9">
        <v>50</v>
      </c>
      <c r="N22" s="9">
        <v>100</v>
      </c>
      <c r="O22" s="9">
        <v>150</v>
      </c>
      <c r="P22" s="9">
        <v>200</v>
      </c>
      <c r="Q22" s="10">
        <v>255</v>
      </c>
      <c r="S22" s="8">
        <v>50</v>
      </c>
      <c r="T22" s="9">
        <v>50</v>
      </c>
      <c r="U22" s="9">
        <v>100</v>
      </c>
      <c r="V22" s="9">
        <v>100</v>
      </c>
      <c r="W22" s="9">
        <v>150</v>
      </c>
      <c r="X22" s="9">
        <v>150</v>
      </c>
      <c r="Y22" s="9">
        <v>200</v>
      </c>
      <c r="Z22" s="10">
        <v>255</v>
      </c>
    </row>
    <row r="23" spans="1:26" ht="37.5" customHeight="1">
      <c r="A23" s="8">
        <v>255</v>
      </c>
      <c r="B23" s="9">
        <v>200</v>
      </c>
      <c r="C23" s="9">
        <v>150</v>
      </c>
      <c r="D23" s="9">
        <v>100</v>
      </c>
      <c r="E23" s="9">
        <v>50</v>
      </c>
      <c r="F23" s="9">
        <v>50</v>
      </c>
      <c r="G23" s="9">
        <v>50</v>
      </c>
      <c r="H23" s="10">
        <v>50</v>
      </c>
      <c r="J23" s="8">
        <v>100</v>
      </c>
      <c r="K23" s="9">
        <v>100</v>
      </c>
      <c r="L23" s="9">
        <v>100</v>
      </c>
      <c r="M23" s="9">
        <v>100</v>
      </c>
      <c r="N23" s="9">
        <v>100</v>
      </c>
      <c r="O23" s="9">
        <v>150</v>
      </c>
      <c r="P23" s="9">
        <v>200</v>
      </c>
      <c r="Q23" s="10">
        <v>255</v>
      </c>
      <c r="S23" s="8">
        <v>100</v>
      </c>
      <c r="T23" s="9">
        <v>100</v>
      </c>
      <c r="U23" s="9">
        <v>100</v>
      </c>
      <c r="V23" s="9">
        <v>150</v>
      </c>
      <c r="W23" s="9">
        <v>150</v>
      </c>
      <c r="X23" s="9">
        <v>200</v>
      </c>
      <c r="Y23" s="9">
        <v>200</v>
      </c>
      <c r="Z23" s="10">
        <v>255</v>
      </c>
    </row>
    <row r="24" spans="1:26" ht="37.5" customHeight="1">
      <c r="A24" s="8">
        <v>255</v>
      </c>
      <c r="B24" s="9">
        <v>200</v>
      </c>
      <c r="C24" s="9">
        <v>150</v>
      </c>
      <c r="D24" s="9">
        <v>100</v>
      </c>
      <c r="E24" s="9">
        <v>50</v>
      </c>
      <c r="F24" s="9">
        <v>0</v>
      </c>
      <c r="G24" s="9">
        <v>0</v>
      </c>
      <c r="H24" s="10">
        <v>0</v>
      </c>
      <c r="J24" s="8">
        <v>150</v>
      </c>
      <c r="K24" s="9">
        <v>150</v>
      </c>
      <c r="L24" s="9">
        <v>150</v>
      </c>
      <c r="M24" s="9">
        <v>150</v>
      </c>
      <c r="N24" s="9">
        <v>150</v>
      </c>
      <c r="O24" s="9">
        <v>150</v>
      </c>
      <c r="P24" s="9">
        <v>200</v>
      </c>
      <c r="Q24" s="10">
        <v>255</v>
      </c>
      <c r="S24" s="8">
        <v>150</v>
      </c>
      <c r="T24" s="9">
        <v>150</v>
      </c>
      <c r="U24" s="9">
        <v>150</v>
      </c>
      <c r="V24" s="9">
        <v>150</v>
      </c>
      <c r="W24" s="9">
        <v>200</v>
      </c>
      <c r="X24" s="9">
        <v>200</v>
      </c>
      <c r="Y24" s="9">
        <v>255</v>
      </c>
      <c r="Z24" s="10">
        <v>255</v>
      </c>
    </row>
    <row r="25" spans="1:26" ht="37.5" customHeight="1">
      <c r="A25" s="8">
        <v>255</v>
      </c>
      <c r="B25" s="9">
        <v>200</v>
      </c>
      <c r="C25" s="9">
        <v>150</v>
      </c>
      <c r="D25" s="9">
        <v>100</v>
      </c>
      <c r="E25" s="9">
        <v>50</v>
      </c>
      <c r="F25" s="9">
        <v>0</v>
      </c>
      <c r="G25" s="9">
        <v>0</v>
      </c>
      <c r="H25" s="10">
        <v>0</v>
      </c>
      <c r="J25" s="8">
        <v>200</v>
      </c>
      <c r="K25" s="9">
        <v>200</v>
      </c>
      <c r="L25" s="9">
        <v>200</v>
      </c>
      <c r="M25" s="9">
        <v>200</v>
      </c>
      <c r="N25" s="9">
        <v>200</v>
      </c>
      <c r="O25" s="9">
        <v>200</v>
      </c>
      <c r="P25" s="9">
        <v>200</v>
      </c>
      <c r="Q25" s="10">
        <v>255</v>
      </c>
      <c r="S25" s="8">
        <v>200</v>
      </c>
      <c r="T25" s="9">
        <v>200</v>
      </c>
      <c r="U25" s="9">
        <v>200</v>
      </c>
      <c r="V25" s="9">
        <v>200</v>
      </c>
      <c r="W25" s="9">
        <v>200</v>
      </c>
      <c r="X25" s="9">
        <v>255</v>
      </c>
      <c r="Y25" s="9">
        <v>255</v>
      </c>
      <c r="Z25" s="10">
        <v>255</v>
      </c>
    </row>
    <row r="26" spans="1:26" ht="37.5" customHeight="1" thickBot="1">
      <c r="A26" s="14">
        <v>255</v>
      </c>
      <c r="B26" s="15">
        <v>200</v>
      </c>
      <c r="C26" s="15">
        <v>150</v>
      </c>
      <c r="D26" s="15">
        <v>100</v>
      </c>
      <c r="E26" s="15">
        <v>50</v>
      </c>
      <c r="F26" s="15">
        <v>0</v>
      </c>
      <c r="G26" s="15">
        <v>0</v>
      </c>
      <c r="H26" s="16">
        <v>0</v>
      </c>
      <c r="J26" s="14">
        <v>255</v>
      </c>
      <c r="K26" s="15">
        <v>255</v>
      </c>
      <c r="L26" s="15">
        <v>255</v>
      </c>
      <c r="M26" s="15">
        <v>255</v>
      </c>
      <c r="N26" s="15">
        <v>255</v>
      </c>
      <c r="O26" s="15">
        <v>255</v>
      </c>
      <c r="P26" s="15">
        <v>255</v>
      </c>
      <c r="Q26" s="16">
        <v>255</v>
      </c>
      <c r="S26" s="14">
        <v>255</v>
      </c>
      <c r="T26" s="15">
        <v>255</v>
      </c>
      <c r="U26" s="15">
        <v>255</v>
      </c>
      <c r="V26" s="15">
        <v>255</v>
      </c>
      <c r="W26" s="15">
        <v>255</v>
      </c>
      <c r="X26" s="15">
        <v>255</v>
      </c>
      <c r="Y26" s="15">
        <v>255</v>
      </c>
      <c r="Z26" s="16">
        <v>255</v>
      </c>
    </row>
  </sheetData>
  <conditionalFormatting sqref="A1:H8">
    <cfRule type="colorScale" priority="15">
      <colorScale>
        <cfvo type="min"/>
        <cfvo type="max"/>
        <color rgb="FF63BE7B"/>
        <color rgb="FFFCFCFF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Q8">
    <cfRule type="colorScale" priority="16">
      <colorScale>
        <cfvo type="min"/>
        <cfvo type="max"/>
        <color rgb="FF63BE7B"/>
        <color rgb="FFFCFCFF"/>
      </colorScale>
    </cfRule>
    <cfRule type="colorScale" priority="1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10:H17">
    <cfRule type="colorScale" priority="13">
      <colorScale>
        <cfvo type="min"/>
        <cfvo type="max"/>
        <color rgb="FF63BE7B"/>
        <color rgb="FFFCFCFF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:Q17">
    <cfRule type="colorScale" priority="11">
      <colorScale>
        <cfvo type="min"/>
        <cfvo type="max"/>
        <color rgb="FF63BE7B"/>
        <color rgb="FFFCFCFF"/>
      </colorScale>
    </cfRule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S1:Z8">
    <cfRule type="colorScale" priority="9">
      <colorScale>
        <cfvo type="min"/>
        <cfvo type="max"/>
        <color rgb="FF63BE7B"/>
        <color rgb="FFFCFCFF"/>
      </colorScale>
    </cfRule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S10:Z17">
    <cfRule type="colorScale" priority="7">
      <colorScale>
        <cfvo type="min"/>
        <cfvo type="max"/>
        <color rgb="FF63BE7B"/>
        <color rgb="FFFCFCFF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19:H26">
    <cfRule type="colorScale" priority="5">
      <colorScale>
        <cfvo type="min"/>
        <cfvo type="max"/>
        <color rgb="FF63BE7B"/>
        <color rgb="FFFCFCFF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19:Q26">
    <cfRule type="colorScale" priority="3">
      <colorScale>
        <cfvo type="min"/>
        <cfvo type="max"/>
        <color rgb="FF63BE7B"/>
        <color rgb="FFFCFCFF"/>
      </colorScale>
    </cfRule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S19:Z26">
    <cfRule type="colorScale" priority="1">
      <colorScale>
        <cfvo type="min"/>
        <cfvo type="max"/>
        <color rgb="FF63BE7B"/>
        <color rgb="FFFCFCFF"/>
      </colorScale>
    </cfRule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imageData</vt:lpstr>
      <vt:lpstr>quantumTable</vt:lpstr>
      <vt:lpstr>DCT・IDCT</vt:lpstr>
      <vt:lpstr>サンプル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Fukuda</dc:creator>
  <cp:lastModifiedBy>福田浩</cp:lastModifiedBy>
  <dcterms:created xsi:type="dcterms:W3CDTF">2023-08-25T03:25:10Z</dcterms:created>
  <dcterms:modified xsi:type="dcterms:W3CDTF">2023-10-15T09:14:44Z</dcterms:modified>
</cp:coreProperties>
</file>